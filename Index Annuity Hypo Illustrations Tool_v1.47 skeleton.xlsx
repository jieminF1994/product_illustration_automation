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feng\Downloads\"/>
    </mc:Choice>
  </mc:AlternateContent>
  <xr:revisionPtr revIDLastSave="0" documentId="8_{131E77F0-E90E-4D84-BE53-61E0D39678FF}" xr6:coauthVersionLast="47" xr6:coauthVersionMax="47" xr10:uidLastSave="{00000000-0000-0000-0000-000000000000}"/>
  <bookViews>
    <workbookView xWindow="-108" yWindow="-108" windowWidth="23256" windowHeight="12456" activeTab="1" xr2:uid="{FC31FC9D-2C32-4799-8FEC-CB2F036717E4}"/>
  </bookViews>
  <sheets>
    <sheet name="Report" sheetId="2" r:id="rId1"/>
    <sheet name="Inputs &amp; Summary" sheetId="3" r:id="rId2"/>
    <sheet name="Ref" sheetId="4" r:id="rId3"/>
    <sheet name="Sheet1" sheetId="1" r:id="rId4"/>
  </sheets>
  <externalReferences>
    <externalReference r:id="rId5"/>
  </externalReferences>
  <definedNames>
    <definedName name="_xlnm._FilterDatabase" localSheetId="2" hidden="1">Ref!$B$3:$U$3</definedName>
    <definedName name="AdICOS">Ref!$AJ$47</definedName>
    <definedName name="AdS">Ref!$AJ$3:$AJ$5</definedName>
    <definedName name="AdvFee">'Inputs &amp; Summary'!$C$98</definedName>
    <definedName name="AFR">'Inputs &amp; Summary'!$C$63</definedName>
    <definedName name="AICOPrFee">'Inputs &amp; Summary'!$C$87</definedName>
    <definedName name="AnnAge">'Inputs &amp; Summary'!$W$68</definedName>
    <definedName name="Category">'Inputs &amp; Summary'!$C$12</definedName>
    <definedName name="CDSCP">'Inputs &amp; Summary'!$C$16</definedName>
    <definedName name="CDSCPSel">'Inputs &amp; Summary'!$C$15</definedName>
    <definedName name="CGR">'Inputs &amp; Summary'!$C$62</definedName>
    <definedName name="CLPrem">'Inputs &amp; Summary'!$C$48</definedName>
    <definedName name="Compact">Ref!$AG$68:$AI$118</definedName>
    <definedName name="EICRInd">'Inputs &amp; Summary'!$C$84</definedName>
    <definedName name="EICRRate">'Inputs &amp; Summary'!$C$85</definedName>
    <definedName name="Election">'Inputs &amp; Summary'!$C$40</definedName>
    <definedName name="Focus">'Inputs &amp; Summary'!$C$54</definedName>
    <definedName name="FWD">'Inputs &amp; Summary'!$C$71</definedName>
    <definedName name="GIRM1">'Inputs &amp; Summary'!$C$93</definedName>
    <definedName name="GIRM2">'Inputs &amp; Summary'!$C$94</definedName>
    <definedName name="GMABC">'Inputs &amp; Summary'!$C$66</definedName>
    <definedName name="GMABR">'Inputs &amp; Summary'!$C$67</definedName>
    <definedName name="GMIR">'Inputs &amp; Summary'!$C$64</definedName>
    <definedName name="GMWBFee">'Inputs &amp; Summary'!$C$70</definedName>
    <definedName name="ICP">'Inputs &amp; Summary'!$C$92</definedName>
    <definedName name="ICR">'Inputs &amp; Summary'!$C$91</definedName>
    <definedName name="IED">'Inputs &amp; Summary'!$C$57</definedName>
    <definedName name="InPrem">'Inputs &amp; Summary'!$C$49</definedName>
    <definedName name="InS">Ref!$AJ$6:$AJ$25</definedName>
    <definedName name="IPI">'Inputs &amp; Summary'!$C$101</definedName>
    <definedName name="ISD">'Inputs &amp; Summary'!$C$53</definedName>
    <definedName name="IssAge1">'Inputs &amp; Summary'!$C$34</definedName>
    <definedName name="IssAge2">'Inputs &amp; Summary'!$C$35</definedName>
    <definedName name="LBInd">'Inputs &amp; Summary'!$C$69</definedName>
    <definedName name="LIADur">'Inputs &amp; Summary'!$C$73</definedName>
    <definedName name="LIB">Ref!$AH$54</definedName>
    <definedName name="LIC">Ref!$AI$54</definedName>
    <definedName name="LIMLIPMF">Ref!$AJ$54:$AJ$55</definedName>
    <definedName name="LIPFLIPMF">Ref!$AK$54:$AK$55</definedName>
    <definedName name="LivBen">'Inputs &amp; Summary'!$C$17</definedName>
    <definedName name="MatAge">'Inputs &amp; Summary'!$C$36</definedName>
    <definedName name="MaxIGP">'Inputs &amp; Summary'!$C$102</definedName>
    <definedName name="MCIR">'Inputs &amp; Summary'!$C$21</definedName>
    <definedName name="MCIRInd">'Inputs &amp; Summary'!$C$20</definedName>
    <definedName name="ModReg">Ref!$AG$68:$AJ$118</definedName>
    <definedName name="MWVBasis">'Inputs &amp; Summary'!$C$59</definedName>
    <definedName name="MWVRate">'Inputs &amp; Summary'!$C$60</definedName>
    <definedName name="NIRM1">'Inputs &amp; Summary'!$C$95</definedName>
    <definedName name="NIRM2">'Inputs &amp; Summary'!$C$96</definedName>
    <definedName name="None">Ref!$AG$54</definedName>
    <definedName name="OMaxR">'Inputs &amp; Summary'!$C$89</definedName>
    <definedName name="OMR">'Inputs &amp; Summary'!$C$88</definedName>
    <definedName name="PFED">'Inputs &amp; Summary'!$C$55</definedName>
    <definedName name="PoI5N">Ref!$AJ$26:$AJ$27</definedName>
    <definedName name="PoIPN">Ref!$AJ$28:$AJ$29</definedName>
    <definedName name="PoSS">Ref!$AJ$30:$AJ$34</definedName>
    <definedName name="PremEnh">'Inputs &amp; Summary'!$C$51</definedName>
    <definedName name="Product">'Inputs &amp; Summary'!$C$14</definedName>
    <definedName name="Projection">'Inputs &amp; Summary'!$C$56</definedName>
    <definedName name="PTab">'Inputs &amp; Summary'!$C$13</definedName>
    <definedName name="ResetDur">'Inputs &amp; Summary'!$C$100</definedName>
    <definedName name="RMDAge">'Inputs &amp; Summary'!$C$43</definedName>
    <definedName name="RMDCat">'Inputs &amp; Summary'!$C$44</definedName>
    <definedName name="RMDInd">'Inputs &amp; Summary'!$C$42</definedName>
    <definedName name="ShIS">Ref!$AJ$43:$AJ$46</definedName>
    <definedName name="ShPPS">Ref!$AJ$36:$AJ$42</definedName>
    <definedName name="SSubCat">'Inputs &amp; Summary'!$C$19</definedName>
    <definedName name="State">'Inputs &amp; Summary'!$C$38</definedName>
    <definedName name="Summary">'Inputs &amp; Summary'!$C$18</definedName>
    <definedName name="SWAmount">'Inputs &amp; Summary'!$C$78</definedName>
    <definedName name="SWEnd">'Inputs &amp; Summary'!$C$81</definedName>
    <definedName name="SWInd">'Inputs &amp; Summary'!$C$76</definedName>
    <definedName name="SWMode">'Inputs &amp; Summary'!$C$77</definedName>
    <definedName name="SWRate">'Inputs &amp; Summary'!$C$79</definedName>
    <definedName name="SWStart">'Inputs &amp; Summary'!$C$80</definedName>
    <definedName name="WDAge">'Inputs &amp; Summary'!$C$74</definedName>
    <definedName name="WDRate">'Inputs &amp; Summary'!$C$72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85" i="4" l="1"/>
  <c r="AI182" i="4" s="1" a="1"/>
  <c r="AI182" i="4" s="1"/>
  <c r="AI183" i="4"/>
  <c r="AI183" i="4" a="1"/>
  <c r="AI166" i="4"/>
  <c r="AI163" i="4"/>
  <c r="AI160" i="4"/>
  <c r="AI157" i="4"/>
  <c r="AI155" i="4"/>
  <c r="AI151" i="4"/>
  <c r="AI148" i="4"/>
  <c r="AI145" i="4"/>
  <c r="AI142" i="4"/>
  <c r="AI135" i="4"/>
  <c r="AI132" i="4"/>
  <c r="AI130" i="4"/>
  <c r="AI129" i="4"/>
  <c r="AI126" i="4"/>
  <c r="AI125" i="4"/>
  <c r="C125" i="4"/>
  <c r="AI122" i="4"/>
  <c r="C119" i="4"/>
  <c r="C116" i="4"/>
  <c r="C113" i="4"/>
  <c r="B53" i="4" s="1"/>
  <c r="C110" i="4"/>
  <c r="C107" i="4"/>
  <c r="C90" i="4"/>
  <c r="C85" i="4"/>
  <c r="C84" i="4"/>
  <c r="C83" i="4"/>
  <c r="K74" i="4"/>
  <c r="U53" i="4"/>
  <c r="T53" i="4"/>
  <c r="C122" i="4" s="1"/>
  <c r="S53" i="4"/>
  <c r="R53" i="4"/>
  <c r="Q53" i="4"/>
  <c r="P53" i="4"/>
  <c r="O53" i="4"/>
  <c r="N53" i="4"/>
  <c r="M53" i="4"/>
  <c r="K53" i="4"/>
  <c r="J53" i="4"/>
  <c r="C104" i="4" s="1"/>
  <c r="I53" i="4"/>
  <c r="H53" i="4"/>
  <c r="C97" i="4" s="1"/>
  <c r="C91" i="3" s="1"/>
  <c r="G53" i="4"/>
  <c r="F53" i="4"/>
  <c r="C94" i="4" s="1"/>
  <c r="E53" i="4"/>
  <c r="D53" i="4"/>
  <c r="AK47" i="4"/>
  <c r="AH47" i="4"/>
  <c r="AK46" i="4"/>
  <c r="AH46" i="4"/>
  <c r="L46" i="4"/>
  <c r="L46" i="4" a="1"/>
  <c r="E46" i="4"/>
  <c r="C46" i="4"/>
  <c r="AK45" i="4"/>
  <c r="AH45" i="4"/>
  <c r="L45" i="4"/>
  <c r="L45" i="4" a="1"/>
  <c r="E45" i="4"/>
  <c r="C45" i="4"/>
  <c r="AK44" i="4"/>
  <c r="AH44" i="4"/>
  <c r="L44" i="4"/>
  <c r="L44" i="4" a="1"/>
  <c r="E44" i="4"/>
  <c r="C44" i="4"/>
  <c r="AK43" i="4"/>
  <c r="AH43" i="4"/>
  <c r="L43" i="4" a="1"/>
  <c r="L43" i="4" s="1"/>
  <c r="E43" i="4"/>
  <c r="C43" i="4"/>
  <c r="AK42" i="4"/>
  <c r="AH42" i="4"/>
  <c r="L42" i="4" a="1"/>
  <c r="L42" i="4" s="1"/>
  <c r="E42" i="4"/>
  <c r="C42" i="4"/>
  <c r="AK41" i="4"/>
  <c r="AH41" i="4"/>
  <c r="L41" i="4" a="1"/>
  <c r="L41" i="4" s="1"/>
  <c r="E41" i="4"/>
  <c r="C41" i="4"/>
  <c r="AK40" i="4"/>
  <c r="AH40" i="4"/>
  <c r="L40" i="4" a="1"/>
  <c r="L40" i="4" s="1"/>
  <c r="E40" i="4"/>
  <c r="C40" i="4"/>
  <c r="AK39" i="4"/>
  <c r="AH39" i="4"/>
  <c r="L39" i="4"/>
  <c r="L39" i="4" a="1"/>
  <c r="E39" i="4"/>
  <c r="C39" i="4"/>
  <c r="AK38" i="4"/>
  <c r="AH38" i="4"/>
  <c r="L38" i="4" a="1"/>
  <c r="L38" i="4" s="1"/>
  <c r="E38" i="4"/>
  <c r="C38" i="4"/>
  <c r="CB37" i="4"/>
  <c r="CB38" i="4" s="1"/>
  <c r="CB39" i="4" s="1"/>
  <c r="BM37" i="4"/>
  <c r="BM38" i="4" s="1"/>
  <c r="BM39" i="4" s="1"/>
  <c r="AK37" i="4"/>
  <c r="AH37" i="4"/>
  <c r="L37" i="4"/>
  <c r="L37" i="4" a="1"/>
  <c r="E37" i="4"/>
  <c r="C37" i="4"/>
  <c r="CG36" i="4"/>
  <c r="CG37" i="4" s="1"/>
  <c r="CG38" i="4" s="1"/>
  <c r="CG39" i="4" s="1"/>
  <c r="BL36" i="4"/>
  <c r="BL37" i="4" s="1"/>
  <c r="BL38" i="4" s="1"/>
  <c r="BL39" i="4" s="1"/>
  <c r="AK36" i="4"/>
  <c r="AH36" i="4"/>
  <c r="L36" i="4" a="1"/>
  <c r="L36" i="4" s="1"/>
  <c r="E36" i="4"/>
  <c r="C36" i="4"/>
  <c r="CD35" i="4"/>
  <c r="CD36" i="4" s="1"/>
  <c r="CD37" i="4" s="1"/>
  <c r="CD38" i="4" s="1"/>
  <c r="CD39" i="4" s="1"/>
  <c r="CC35" i="4"/>
  <c r="CC36" i="4" s="1"/>
  <c r="CC37" i="4" s="1"/>
  <c r="CC38" i="4" s="1"/>
  <c r="CC39" i="4" s="1"/>
  <c r="CB35" i="4"/>
  <c r="CB36" i="4" s="1"/>
  <c r="BS35" i="4"/>
  <c r="BS36" i="4" s="1"/>
  <c r="BS37" i="4" s="1"/>
  <c r="BS38" i="4" s="1"/>
  <c r="BS39" i="4" s="1"/>
  <c r="BP35" i="4"/>
  <c r="BP36" i="4" s="1"/>
  <c r="BP37" i="4" s="1"/>
  <c r="BP38" i="4" s="1"/>
  <c r="BP39" i="4" s="1"/>
  <c r="BO35" i="4"/>
  <c r="BO36" i="4" s="1"/>
  <c r="BO37" i="4" s="1"/>
  <c r="BO38" i="4" s="1"/>
  <c r="BO39" i="4" s="1"/>
  <c r="BN35" i="4"/>
  <c r="BN36" i="4" s="1"/>
  <c r="BN37" i="4" s="1"/>
  <c r="BN38" i="4" s="1"/>
  <c r="BN39" i="4" s="1"/>
  <c r="BM35" i="4"/>
  <c r="BM36" i="4" s="1"/>
  <c r="BL35" i="4"/>
  <c r="L35" i="4" a="1"/>
  <c r="L35" i="4" s="1"/>
  <c r="E35" i="4"/>
  <c r="C35" i="4"/>
  <c r="CE34" i="4"/>
  <c r="CE35" i="4" s="1"/>
  <c r="CE36" i="4" s="1"/>
  <c r="CE37" i="4" s="1"/>
  <c r="CE38" i="4" s="1"/>
  <c r="CE39" i="4" s="1"/>
  <c r="CD34" i="4"/>
  <c r="CC34" i="4"/>
  <c r="CB34" i="4"/>
  <c r="BS34" i="4"/>
  <c r="BR34" i="4"/>
  <c r="BR35" i="4" s="1"/>
  <c r="BR36" i="4" s="1"/>
  <c r="BR37" i="4" s="1"/>
  <c r="BR38" i="4" s="1"/>
  <c r="BR39" i="4" s="1"/>
  <c r="BQ34" i="4"/>
  <c r="BQ35" i="4" s="1"/>
  <c r="BQ36" i="4" s="1"/>
  <c r="BQ37" i="4" s="1"/>
  <c r="BQ38" i="4" s="1"/>
  <c r="BQ39" i="4" s="1"/>
  <c r="BP34" i="4"/>
  <c r="BO34" i="4"/>
  <c r="BN34" i="4"/>
  <c r="BM34" i="4"/>
  <c r="BL34" i="4"/>
  <c r="BK34" i="4"/>
  <c r="BK35" i="4" s="1"/>
  <c r="BK36" i="4" s="1"/>
  <c r="BK37" i="4" s="1"/>
  <c r="BK38" i="4" s="1"/>
  <c r="BK39" i="4" s="1"/>
  <c r="BJ34" i="4"/>
  <c r="BJ35" i="4" s="1"/>
  <c r="BJ36" i="4" s="1"/>
  <c r="BJ37" i="4" s="1"/>
  <c r="BJ38" i="4" s="1"/>
  <c r="BJ39" i="4" s="1"/>
  <c r="BI34" i="4"/>
  <c r="BI35" i="4" s="1"/>
  <c r="BI36" i="4" s="1"/>
  <c r="BI37" i="4" s="1"/>
  <c r="BI38" i="4" s="1"/>
  <c r="BI39" i="4" s="1"/>
  <c r="BH34" i="4"/>
  <c r="BH35" i="4" s="1"/>
  <c r="BH36" i="4" s="1"/>
  <c r="BH37" i="4" s="1"/>
  <c r="BH38" i="4" s="1"/>
  <c r="BH39" i="4" s="1"/>
  <c r="L34" i="4" a="1"/>
  <c r="L34" i="4" s="1"/>
  <c r="E34" i="4"/>
  <c r="C34" i="4"/>
  <c r="AK33" i="4"/>
  <c r="AH33" i="4"/>
  <c r="L33" i="4"/>
  <c r="L33" i="4" a="1"/>
  <c r="E33" i="4"/>
  <c r="C33" i="4"/>
  <c r="CC32" i="4"/>
  <c r="BS32" i="4"/>
  <c r="BR32" i="4"/>
  <c r="BQ32" i="4"/>
  <c r="BP32" i="4"/>
  <c r="BO32" i="4"/>
  <c r="BN32" i="4"/>
  <c r="AK32" i="4"/>
  <c r="AH32" i="4"/>
  <c r="L32" i="4" a="1"/>
  <c r="L32" i="4" s="1"/>
  <c r="E32" i="4"/>
  <c r="C32" i="4"/>
  <c r="BS31" i="4"/>
  <c r="BR31" i="4"/>
  <c r="BQ31" i="4"/>
  <c r="BP31" i="4"/>
  <c r="BO31" i="4"/>
  <c r="BN31" i="4"/>
  <c r="BM31" i="4"/>
  <c r="BM32" i="4" s="1"/>
  <c r="BL31" i="4"/>
  <c r="BL32" i="4" s="1"/>
  <c r="BK31" i="4"/>
  <c r="BK32" i="4" s="1"/>
  <c r="BH31" i="4"/>
  <c r="BH32" i="4" s="1"/>
  <c r="AK31" i="4"/>
  <c r="AH31" i="4"/>
  <c r="L31" i="4"/>
  <c r="L53" i="4" s="1"/>
  <c r="L31" i="4" a="1"/>
  <c r="E31" i="4"/>
  <c r="C31" i="4"/>
  <c r="C53" i="4" s="1"/>
  <c r="CC30" i="4"/>
  <c r="CC31" i="4" s="1"/>
  <c r="BK30" i="4"/>
  <c r="BJ30" i="4"/>
  <c r="BJ31" i="4" s="1"/>
  <c r="BJ32" i="4" s="1"/>
  <c r="BI30" i="4"/>
  <c r="BI31" i="4" s="1"/>
  <c r="BI32" i="4" s="1"/>
  <c r="BH30" i="4"/>
  <c r="AK30" i="4"/>
  <c r="AH30" i="4"/>
  <c r="L30" i="4" a="1"/>
  <c r="L30" i="4" s="1"/>
  <c r="E30" i="4"/>
  <c r="C30" i="4"/>
  <c r="CE29" i="4"/>
  <c r="CE30" i="4" s="1"/>
  <c r="CE31" i="4" s="1"/>
  <c r="CE32" i="4" s="1"/>
  <c r="CD29" i="4"/>
  <c r="CD30" i="4" s="1"/>
  <c r="CD31" i="4" s="1"/>
  <c r="CD32" i="4" s="1"/>
  <c r="CC29" i="4"/>
  <c r="CB29" i="4"/>
  <c r="CB30" i="4" s="1"/>
  <c r="CB31" i="4" s="1"/>
  <c r="CB32" i="4" s="1"/>
  <c r="BS29" i="4"/>
  <c r="BR29" i="4"/>
  <c r="BQ29" i="4"/>
  <c r="BP29" i="4"/>
  <c r="BO29" i="4"/>
  <c r="BN29" i="4"/>
  <c r="BM29" i="4"/>
  <c r="BL29" i="4"/>
  <c r="BK29" i="4"/>
  <c r="BJ29" i="4"/>
  <c r="BI29" i="4"/>
  <c r="BH29" i="4"/>
  <c r="AK29" i="4"/>
  <c r="AH29" i="4"/>
  <c r="L29" i="4"/>
  <c r="L29" i="4" a="1"/>
  <c r="E29" i="4"/>
  <c r="C29" i="4"/>
  <c r="AK28" i="4"/>
  <c r="AH28" i="4"/>
  <c r="L28" i="4" a="1"/>
  <c r="L28" i="4" s="1"/>
  <c r="E28" i="4"/>
  <c r="C28" i="4"/>
  <c r="CC27" i="4"/>
  <c r="BK27" i="4"/>
  <c r="AK27" i="4"/>
  <c r="AH27" i="4"/>
  <c r="L27" i="4" a="1"/>
  <c r="L27" i="4" s="1"/>
  <c r="E27" i="4"/>
  <c r="C27" i="4"/>
  <c r="BH26" i="4"/>
  <c r="BH27" i="4" s="1"/>
  <c r="AK26" i="4"/>
  <c r="AH26" i="4"/>
  <c r="L26" i="4" a="1"/>
  <c r="L26" i="4" s="1"/>
  <c r="E26" i="4"/>
  <c r="C26" i="4"/>
  <c r="CE25" i="4"/>
  <c r="CE26" i="4" s="1"/>
  <c r="CE27" i="4" s="1"/>
  <c r="CD25" i="4"/>
  <c r="CD26" i="4" s="1"/>
  <c r="CD27" i="4" s="1"/>
  <c r="CC25" i="4"/>
  <c r="CC26" i="4" s="1"/>
  <c r="CB25" i="4"/>
  <c r="CB26" i="4" s="1"/>
  <c r="CB27" i="4" s="1"/>
  <c r="BQ25" i="4"/>
  <c r="BQ26" i="4" s="1"/>
  <c r="BQ27" i="4" s="1"/>
  <c r="BP25" i="4"/>
  <c r="BP26" i="4" s="1"/>
  <c r="BP27" i="4" s="1"/>
  <c r="BO25" i="4"/>
  <c r="BO26" i="4" s="1"/>
  <c r="BO27" i="4" s="1"/>
  <c r="BN25" i="4"/>
  <c r="BN26" i="4" s="1"/>
  <c r="BN27" i="4" s="1"/>
  <c r="BM25" i="4"/>
  <c r="BM26" i="4" s="1"/>
  <c r="BM27" i="4" s="1"/>
  <c r="BL25" i="4"/>
  <c r="BL26" i="4" s="1"/>
  <c r="BL27" i="4" s="1"/>
  <c r="BK25" i="4"/>
  <c r="BK26" i="4" s="1"/>
  <c r="BJ25" i="4"/>
  <c r="BJ26" i="4" s="1"/>
  <c r="BJ27" i="4" s="1"/>
  <c r="AK25" i="4"/>
  <c r="AH25" i="4"/>
  <c r="L25" i="4" a="1"/>
  <c r="L25" i="4" s="1"/>
  <c r="E25" i="4"/>
  <c r="C25" i="4"/>
  <c r="CE24" i="4"/>
  <c r="CD24" i="4"/>
  <c r="CC24" i="4"/>
  <c r="CB24" i="4"/>
  <c r="BS24" i="4"/>
  <c r="BS25" i="4" s="1"/>
  <c r="BS26" i="4" s="1"/>
  <c r="BS27" i="4" s="1"/>
  <c r="BR24" i="4"/>
  <c r="BR25" i="4" s="1"/>
  <c r="BR26" i="4" s="1"/>
  <c r="BR27" i="4" s="1"/>
  <c r="BQ24" i="4"/>
  <c r="BP24" i="4"/>
  <c r="BO24" i="4"/>
  <c r="BN24" i="4"/>
  <c r="BM24" i="4"/>
  <c r="BL24" i="4"/>
  <c r="BK24" i="4"/>
  <c r="BJ24" i="4"/>
  <c r="BI24" i="4"/>
  <c r="BI25" i="4" s="1"/>
  <c r="BI26" i="4" s="1"/>
  <c r="BI27" i="4" s="1"/>
  <c r="BH24" i="4"/>
  <c r="BH25" i="4" s="1"/>
  <c r="AK24" i="4"/>
  <c r="AH24" i="4"/>
  <c r="L24" i="4" a="1"/>
  <c r="L24" i="4" s="1"/>
  <c r="E24" i="4"/>
  <c r="C24" i="4"/>
  <c r="BU23" i="4"/>
  <c r="BU24" i="4" s="1"/>
  <c r="BU25" i="4" s="1"/>
  <c r="BU26" i="4" s="1"/>
  <c r="BU27" i="4" s="1"/>
  <c r="BU28" i="4" s="1"/>
  <c r="BU29" i="4" s="1"/>
  <c r="BU30" i="4" s="1"/>
  <c r="BU31" i="4" s="1"/>
  <c r="BU32" i="4" s="1"/>
  <c r="BU33" i="4" s="1"/>
  <c r="BU34" i="4" s="1"/>
  <c r="BU35" i="4" s="1"/>
  <c r="BU36" i="4" s="1"/>
  <c r="BU37" i="4" s="1"/>
  <c r="BU38" i="4" s="1"/>
  <c r="BU39" i="4" s="1"/>
  <c r="AK23" i="4"/>
  <c r="AH23" i="4"/>
  <c r="L23" i="4" a="1"/>
  <c r="L23" i="4" s="1"/>
  <c r="E23" i="4"/>
  <c r="C23" i="4"/>
  <c r="CE22" i="4"/>
  <c r="CD22" i="4"/>
  <c r="AK22" i="4"/>
  <c r="AH22" i="4"/>
  <c r="L22" i="4"/>
  <c r="L22" i="4" a="1"/>
  <c r="E22" i="4"/>
  <c r="C22" i="4"/>
  <c r="BO21" i="4"/>
  <c r="BO22" i="4" s="1"/>
  <c r="BM21" i="4"/>
  <c r="BM22" i="4" s="1"/>
  <c r="AK21" i="4"/>
  <c r="AH21" i="4"/>
  <c r="L21" i="4" a="1"/>
  <c r="L21" i="4" s="1"/>
  <c r="E21" i="4"/>
  <c r="C21" i="4"/>
  <c r="CE20" i="4"/>
  <c r="CE21" i="4" s="1"/>
  <c r="CD20" i="4"/>
  <c r="CD21" i="4" s="1"/>
  <c r="BS20" i="4"/>
  <c r="BS21" i="4" s="1"/>
  <c r="BS22" i="4" s="1"/>
  <c r="BR20" i="4"/>
  <c r="BR21" i="4" s="1"/>
  <c r="BR22" i="4" s="1"/>
  <c r="BQ20" i="4"/>
  <c r="BQ21" i="4" s="1"/>
  <c r="BQ22" i="4" s="1"/>
  <c r="BP20" i="4"/>
  <c r="BP21" i="4" s="1"/>
  <c r="BP22" i="4" s="1"/>
  <c r="AK20" i="4"/>
  <c r="AH20" i="4"/>
  <c r="L20" i="4" a="1"/>
  <c r="L20" i="4" s="1"/>
  <c r="E20" i="4"/>
  <c r="CE19" i="4"/>
  <c r="CD19" i="4"/>
  <c r="CC19" i="4"/>
  <c r="CC20" i="4" s="1"/>
  <c r="CC21" i="4" s="1"/>
  <c r="CC22" i="4" s="1"/>
  <c r="CB19" i="4"/>
  <c r="CB20" i="4" s="1"/>
  <c r="CB21" i="4" s="1"/>
  <c r="CB22" i="4" s="1"/>
  <c r="BS19" i="4"/>
  <c r="BR19" i="4"/>
  <c r="BQ19" i="4"/>
  <c r="BP19" i="4"/>
  <c r="BO19" i="4"/>
  <c r="BO20" i="4" s="1"/>
  <c r="BN19" i="4"/>
  <c r="BN20" i="4" s="1"/>
  <c r="BN21" i="4" s="1"/>
  <c r="BN22" i="4" s="1"/>
  <c r="BM19" i="4"/>
  <c r="BM20" i="4" s="1"/>
  <c r="BL19" i="4"/>
  <c r="BL20" i="4" s="1"/>
  <c r="BL21" i="4" s="1"/>
  <c r="BL22" i="4" s="1"/>
  <c r="BK19" i="4"/>
  <c r="BK20" i="4" s="1"/>
  <c r="BK21" i="4" s="1"/>
  <c r="BK22" i="4" s="1"/>
  <c r="BJ19" i="4"/>
  <c r="BJ20" i="4" s="1"/>
  <c r="BJ21" i="4" s="1"/>
  <c r="BJ22" i="4" s="1"/>
  <c r="BI19" i="4"/>
  <c r="BI20" i="4" s="1"/>
  <c r="BI21" i="4" s="1"/>
  <c r="BI22" i="4" s="1"/>
  <c r="BH19" i="4"/>
  <c r="BH20" i="4" s="1"/>
  <c r="BH21" i="4" s="1"/>
  <c r="BH22" i="4" s="1"/>
  <c r="AK19" i="4"/>
  <c r="AH19" i="4"/>
  <c r="L19" i="4" a="1"/>
  <c r="L19" i="4" s="1"/>
  <c r="E19" i="4"/>
  <c r="C19" i="4"/>
  <c r="AK18" i="4"/>
  <c r="AH18" i="4"/>
  <c r="Z18" i="4"/>
  <c r="L18" i="4"/>
  <c r="L18" i="4" a="1"/>
  <c r="E18" i="4"/>
  <c r="C18" i="4"/>
  <c r="BI17" i="4"/>
  <c r="AK17" i="4"/>
  <c r="AH17" i="4"/>
  <c r="Z17" i="4"/>
  <c r="L17" i="4" a="1"/>
  <c r="L17" i="4" s="1"/>
  <c r="E17" i="4"/>
  <c r="C17" i="4"/>
  <c r="CC16" i="4"/>
  <c r="CC17" i="4" s="1"/>
  <c r="BT16" i="4"/>
  <c r="BT17" i="4" s="1"/>
  <c r="BT18" i="4" s="1"/>
  <c r="BT19" i="4" s="1"/>
  <c r="BT20" i="4" s="1"/>
  <c r="BT21" i="4" s="1"/>
  <c r="BT22" i="4" s="1"/>
  <c r="BT23" i="4" s="1"/>
  <c r="BT24" i="4" s="1"/>
  <c r="BT25" i="4" s="1"/>
  <c r="BT26" i="4" s="1"/>
  <c r="BT27" i="4" s="1"/>
  <c r="BT28" i="4" s="1"/>
  <c r="BT29" i="4" s="1"/>
  <c r="BT30" i="4" s="1"/>
  <c r="BT31" i="4" s="1"/>
  <c r="BT32" i="4" s="1"/>
  <c r="BT33" i="4" s="1"/>
  <c r="BT34" i="4" s="1"/>
  <c r="BT35" i="4" s="1"/>
  <c r="BT36" i="4" s="1"/>
  <c r="BT37" i="4" s="1"/>
  <c r="BT38" i="4" s="1"/>
  <c r="BT39" i="4" s="1"/>
  <c r="BS16" i="4"/>
  <c r="BS17" i="4" s="1"/>
  <c r="AK16" i="4"/>
  <c r="AH16" i="4"/>
  <c r="Z16" i="4"/>
  <c r="L16" i="4"/>
  <c r="L16" i="4" a="1"/>
  <c r="E16" i="4"/>
  <c r="C16" i="4"/>
  <c r="CD15" i="4"/>
  <c r="CD16" i="4" s="1"/>
  <c r="CD17" i="4" s="1"/>
  <c r="BW15" i="4"/>
  <c r="BW16" i="4" s="1"/>
  <c r="BW17" i="4" s="1"/>
  <c r="BW18" i="4" s="1"/>
  <c r="BW19" i="4" s="1"/>
  <c r="BW20" i="4" s="1"/>
  <c r="BW21" i="4" s="1"/>
  <c r="BW22" i="4" s="1"/>
  <c r="BW23" i="4" s="1"/>
  <c r="BW24" i="4" s="1"/>
  <c r="BW25" i="4" s="1"/>
  <c r="BW26" i="4" s="1"/>
  <c r="BW27" i="4" s="1"/>
  <c r="BW28" i="4" s="1"/>
  <c r="BW29" i="4" s="1"/>
  <c r="BW30" i="4" s="1"/>
  <c r="BW31" i="4" s="1"/>
  <c r="BW32" i="4" s="1"/>
  <c r="BW33" i="4" s="1"/>
  <c r="BW34" i="4" s="1"/>
  <c r="BW35" i="4" s="1"/>
  <c r="BW36" i="4" s="1"/>
  <c r="BW37" i="4" s="1"/>
  <c r="BW38" i="4" s="1"/>
  <c r="BW39" i="4" s="1"/>
  <c r="BN15" i="4"/>
  <c r="BN16" i="4" s="1"/>
  <c r="BN17" i="4" s="1"/>
  <c r="BM15" i="4"/>
  <c r="BM16" i="4" s="1"/>
  <c r="BM17" i="4" s="1"/>
  <c r="AK15" i="4"/>
  <c r="AH15" i="4"/>
  <c r="L15" i="4" a="1"/>
  <c r="L15" i="4" s="1"/>
  <c r="E15" i="4"/>
  <c r="C15" i="4"/>
  <c r="BV14" i="4"/>
  <c r="BV15" i="4" s="1"/>
  <c r="BV16" i="4" s="1"/>
  <c r="BV17" i="4" s="1"/>
  <c r="BV18" i="4" s="1"/>
  <c r="BV19" i="4" s="1"/>
  <c r="BV20" i="4" s="1"/>
  <c r="BV21" i="4" s="1"/>
  <c r="BV22" i="4" s="1"/>
  <c r="BV23" i="4" s="1"/>
  <c r="BV24" i="4" s="1"/>
  <c r="BV25" i="4" s="1"/>
  <c r="BV26" i="4" s="1"/>
  <c r="BV27" i="4" s="1"/>
  <c r="BV28" i="4" s="1"/>
  <c r="BV29" i="4" s="1"/>
  <c r="BV30" i="4" s="1"/>
  <c r="BV31" i="4" s="1"/>
  <c r="BV32" i="4" s="1"/>
  <c r="BV33" i="4" s="1"/>
  <c r="BV34" i="4" s="1"/>
  <c r="BV35" i="4" s="1"/>
  <c r="BV36" i="4" s="1"/>
  <c r="BV37" i="4" s="1"/>
  <c r="BV38" i="4" s="1"/>
  <c r="BV39" i="4" s="1"/>
  <c r="BS14" i="4"/>
  <c r="BS15" i="4" s="1"/>
  <c r="BR14" i="4"/>
  <c r="BR15" i="4" s="1"/>
  <c r="BR16" i="4" s="1"/>
  <c r="BR17" i="4" s="1"/>
  <c r="BQ14" i="4"/>
  <c r="BQ15" i="4" s="1"/>
  <c r="BQ16" i="4" s="1"/>
  <c r="BQ17" i="4" s="1"/>
  <c r="AK14" i="4"/>
  <c r="AH14" i="4"/>
  <c r="L14" i="4"/>
  <c r="L14" i="4" a="1"/>
  <c r="E14" i="4"/>
  <c r="C14" i="4"/>
  <c r="CD13" i="4"/>
  <c r="CD14" i="4" s="1"/>
  <c r="BP13" i="4"/>
  <c r="BP14" i="4" s="1"/>
  <c r="BP15" i="4" s="1"/>
  <c r="BP16" i="4" s="1"/>
  <c r="BP17" i="4" s="1"/>
  <c r="AK13" i="4"/>
  <c r="AH13" i="4"/>
  <c r="L13" i="4" a="1"/>
  <c r="L13" i="4" s="1"/>
  <c r="E13" i="4"/>
  <c r="C13" i="4"/>
  <c r="CG12" i="4"/>
  <c r="CG13" i="4" s="1"/>
  <c r="CG14" i="4" s="1"/>
  <c r="CG15" i="4" s="1"/>
  <c r="CG16" i="4" s="1"/>
  <c r="CG17" i="4" s="1"/>
  <c r="CG18" i="4" s="1"/>
  <c r="CG19" i="4" s="1"/>
  <c r="CG20" i="4" s="1"/>
  <c r="CG21" i="4" s="1"/>
  <c r="CG22" i="4" s="1"/>
  <c r="CG23" i="4" s="1"/>
  <c r="CG24" i="4" s="1"/>
  <c r="CG25" i="4" s="1"/>
  <c r="CG26" i="4" s="1"/>
  <c r="CG27" i="4" s="1"/>
  <c r="CG28" i="4" s="1"/>
  <c r="CG29" i="4" s="1"/>
  <c r="CG30" i="4" s="1"/>
  <c r="CG31" i="4" s="1"/>
  <c r="CG32" i="4" s="1"/>
  <c r="CG33" i="4" s="1"/>
  <c r="CG34" i="4" s="1"/>
  <c r="CG35" i="4" s="1"/>
  <c r="BV12" i="4"/>
  <c r="BV13" i="4" s="1"/>
  <c r="AK12" i="4"/>
  <c r="AH12" i="4"/>
  <c r="L12" i="4" a="1"/>
  <c r="L12" i="4" s="1"/>
  <c r="E12" i="4"/>
  <c r="C12" i="4"/>
  <c r="CD11" i="4"/>
  <c r="CD12" i="4" s="1"/>
  <c r="CC11" i="4"/>
  <c r="CC12" i="4" s="1"/>
  <c r="CC13" i="4" s="1"/>
  <c r="CC14" i="4" s="1"/>
  <c r="CC15" i="4" s="1"/>
  <c r="BZ11" i="4"/>
  <c r="BZ12" i="4" s="1"/>
  <c r="BZ13" i="4" s="1"/>
  <c r="BZ14" i="4" s="1"/>
  <c r="BZ15" i="4" s="1"/>
  <c r="BZ16" i="4" s="1"/>
  <c r="BZ17" i="4" s="1"/>
  <c r="BZ18" i="4" s="1"/>
  <c r="BZ19" i="4" s="1"/>
  <c r="BZ20" i="4" s="1"/>
  <c r="BZ21" i="4" s="1"/>
  <c r="BZ22" i="4" s="1"/>
  <c r="BZ23" i="4" s="1"/>
  <c r="BZ24" i="4" s="1"/>
  <c r="BZ25" i="4" s="1"/>
  <c r="BZ26" i="4" s="1"/>
  <c r="BZ27" i="4" s="1"/>
  <c r="BZ28" i="4" s="1"/>
  <c r="BZ29" i="4" s="1"/>
  <c r="BZ30" i="4" s="1"/>
  <c r="BZ31" i="4" s="1"/>
  <c r="BZ32" i="4" s="1"/>
  <c r="BZ33" i="4" s="1"/>
  <c r="BZ34" i="4" s="1"/>
  <c r="BZ35" i="4" s="1"/>
  <c r="BZ36" i="4" s="1"/>
  <c r="BZ37" i="4" s="1"/>
  <c r="BZ38" i="4" s="1"/>
  <c r="BZ39" i="4" s="1"/>
  <c r="BT11" i="4"/>
  <c r="BT12" i="4" s="1"/>
  <c r="BT13" i="4" s="1"/>
  <c r="BT14" i="4" s="1"/>
  <c r="BT15" i="4" s="1"/>
  <c r="BQ11" i="4"/>
  <c r="BQ12" i="4" s="1"/>
  <c r="BQ13" i="4" s="1"/>
  <c r="BP11" i="4"/>
  <c r="BP12" i="4" s="1"/>
  <c r="AK11" i="4"/>
  <c r="AH11" i="4"/>
  <c r="L11" i="4"/>
  <c r="L11" i="4" a="1"/>
  <c r="E11" i="4"/>
  <c r="C11" i="4"/>
  <c r="CA10" i="4"/>
  <c r="CA11" i="4" s="1"/>
  <c r="CA12" i="4" s="1"/>
  <c r="CA13" i="4" s="1"/>
  <c r="CA14" i="4" s="1"/>
  <c r="CA15" i="4" s="1"/>
  <c r="CA16" i="4" s="1"/>
  <c r="CA17" i="4" s="1"/>
  <c r="CA18" i="4" s="1"/>
  <c r="CA19" i="4" s="1"/>
  <c r="CA20" i="4" s="1"/>
  <c r="CA21" i="4" s="1"/>
  <c r="CA22" i="4" s="1"/>
  <c r="CA23" i="4" s="1"/>
  <c r="CA24" i="4" s="1"/>
  <c r="CA25" i="4" s="1"/>
  <c r="CA26" i="4" s="1"/>
  <c r="CA27" i="4" s="1"/>
  <c r="CA28" i="4" s="1"/>
  <c r="CA29" i="4" s="1"/>
  <c r="CA30" i="4" s="1"/>
  <c r="CA31" i="4" s="1"/>
  <c r="CA32" i="4" s="1"/>
  <c r="CA33" i="4" s="1"/>
  <c r="CA34" i="4" s="1"/>
  <c r="CA35" i="4" s="1"/>
  <c r="CA36" i="4" s="1"/>
  <c r="CA37" i="4" s="1"/>
  <c r="CA38" i="4" s="1"/>
  <c r="CA39" i="4" s="1"/>
  <c r="BZ10" i="4"/>
  <c r="BY10" i="4"/>
  <c r="BY11" i="4" s="1"/>
  <c r="BY12" i="4" s="1"/>
  <c r="BY13" i="4" s="1"/>
  <c r="BY14" i="4" s="1"/>
  <c r="BY15" i="4" s="1"/>
  <c r="BY16" i="4" s="1"/>
  <c r="BY17" i="4" s="1"/>
  <c r="BY18" i="4" s="1"/>
  <c r="BY19" i="4" s="1"/>
  <c r="BY20" i="4" s="1"/>
  <c r="BY21" i="4" s="1"/>
  <c r="BY22" i="4" s="1"/>
  <c r="BY23" i="4" s="1"/>
  <c r="BY24" i="4" s="1"/>
  <c r="BY25" i="4" s="1"/>
  <c r="BY26" i="4" s="1"/>
  <c r="BY27" i="4" s="1"/>
  <c r="BY28" i="4" s="1"/>
  <c r="BY29" i="4" s="1"/>
  <c r="BY30" i="4" s="1"/>
  <c r="BY31" i="4" s="1"/>
  <c r="BY32" i="4" s="1"/>
  <c r="BY33" i="4" s="1"/>
  <c r="BY34" i="4" s="1"/>
  <c r="BY35" i="4" s="1"/>
  <c r="BY36" i="4" s="1"/>
  <c r="BY37" i="4" s="1"/>
  <c r="BY38" i="4" s="1"/>
  <c r="BY39" i="4" s="1"/>
  <c r="BW10" i="4"/>
  <c r="BW11" i="4" s="1"/>
  <c r="BW12" i="4" s="1"/>
  <c r="BW13" i="4" s="1"/>
  <c r="BW14" i="4" s="1"/>
  <c r="BV10" i="4"/>
  <c r="BV11" i="4" s="1"/>
  <c r="BU10" i="4"/>
  <c r="BU11" i="4" s="1"/>
  <c r="BU12" i="4" s="1"/>
  <c r="BU13" i="4" s="1"/>
  <c r="BU14" i="4" s="1"/>
  <c r="BU15" i="4" s="1"/>
  <c r="BU16" i="4" s="1"/>
  <c r="BU17" i="4" s="1"/>
  <c r="BU18" i="4" s="1"/>
  <c r="BU19" i="4" s="1"/>
  <c r="BU20" i="4" s="1"/>
  <c r="BU21" i="4" s="1"/>
  <c r="BU22" i="4" s="1"/>
  <c r="BT10" i="4"/>
  <c r="BS10" i="4"/>
  <c r="BS11" i="4" s="1"/>
  <c r="BS12" i="4" s="1"/>
  <c r="BS13" i="4" s="1"/>
  <c r="BQ10" i="4"/>
  <c r="BK10" i="4"/>
  <c r="BK11" i="4" s="1"/>
  <c r="BK12" i="4" s="1"/>
  <c r="BK13" i="4" s="1"/>
  <c r="BK14" i="4" s="1"/>
  <c r="BK15" i="4" s="1"/>
  <c r="BK16" i="4" s="1"/>
  <c r="BK17" i="4" s="1"/>
  <c r="BI10" i="4"/>
  <c r="BI11" i="4" s="1"/>
  <c r="BI12" i="4" s="1"/>
  <c r="BI13" i="4" s="1"/>
  <c r="BI14" i="4" s="1"/>
  <c r="BI15" i="4" s="1"/>
  <c r="BI16" i="4" s="1"/>
  <c r="BH10" i="4"/>
  <c r="BH11" i="4" s="1"/>
  <c r="BH12" i="4" s="1"/>
  <c r="BH13" i="4" s="1"/>
  <c r="BH14" i="4" s="1"/>
  <c r="BH15" i="4" s="1"/>
  <c r="BH16" i="4" s="1"/>
  <c r="BH17" i="4" s="1"/>
  <c r="AK10" i="4"/>
  <c r="AH10" i="4"/>
  <c r="L10" i="4" a="1"/>
  <c r="L10" i="4" s="1"/>
  <c r="E10" i="4"/>
  <c r="C10" i="4"/>
  <c r="CG9" i="4"/>
  <c r="CG10" i="4" s="1"/>
  <c r="CG11" i="4" s="1"/>
  <c r="CF9" i="4"/>
  <c r="CF10" i="4" s="1"/>
  <c r="CF11" i="4" s="1"/>
  <c r="CF12" i="4" s="1"/>
  <c r="CF13" i="4" s="1"/>
  <c r="CF14" i="4" s="1"/>
  <c r="CF15" i="4" s="1"/>
  <c r="CF16" i="4" s="1"/>
  <c r="CF17" i="4" s="1"/>
  <c r="CF18" i="4" s="1"/>
  <c r="CF19" i="4" s="1"/>
  <c r="CF20" i="4" s="1"/>
  <c r="CF21" i="4" s="1"/>
  <c r="CF22" i="4" s="1"/>
  <c r="CF23" i="4" s="1"/>
  <c r="CF24" i="4" s="1"/>
  <c r="CF25" i="4" s="1"/>
  <c r="CF26" i="4" s="1"/>
  <c r="CF27" i="4" s="1"/>
  <c r="CF28" i="4" s="1"/>
  <c r="CF29" i="4" s="1"/>
  <c r="CF30" i="4" s="1"/>
  <c r="CF31" i="4" s="1"/>
  <c r="CF32" i="4" s="1"/>
  <c r="CF33" i="4" s="1"/>
  <c r="CF34" i="4" s="1"/>
  <c r="CF35" i="4" s="1"/>
  <c r="CF36" i="4" s="1"/>
  <c r="CF37" i="4" s="1"/>
  <c r="CF38" i="4" s="1"/>
  <c r="CF39" i="4" s="1"/>
  <c r="CE9" i="4"/>
  <c r="CE10" i="4" s="1"/>
  <c r="CE11" i="4" s="1"/>
  <c r="CE12" i="4" s="1"/>
  <c r="CE13" i="4" s="1"/>
  <c r="CE14" i="4" s="1"/>
  <c r="CE15" i="4" s="1"/>
  <c r="CE16" i="4" s="1"/>
  <c r="CE17" i="4" s="1"/>
  <c r="CD9" i="4"/>
  <c r="CD10" i="4" s="1"/>
  <c r="CC9" i="4"/>
  <c r="CC10" i="4" s="1"/>
  <c r="CB9" i="4"/>
  <c r="CB10" i="4" s="1"/>
  <c r="CB11" i="4" s="1"/>
  <c r="CB12" i="4" s="1"/>
  <c r="CB13" i="4" s="1"/>
  <c r="CB14" i="4" s="1"/>
  <c r="CB15" i="4" s="1"/>
  <c r="CB16" i="4" s="1"/>
  <c r="CB17" i="4" s="1"/>
  <c r="CA9" i="4"/>
  <c r="BZ9" i="4"/>
  <c r="BY9" i="4"/>
  <c r="BX9" i="4"/>
  <c r="BX10" i="4" s="1"/>
  <c r="BX11" i="4" s="1"/>
  <c r="BX12" i="4" s="1"/>
  <c r="BX13" i="4" s="1"/>
  <c r="BX14" i="4" s="1"/>
  <c r="BX15" i="4" s="1"/>
  <c r="BX16" i="4" s="1"/>
  <c r="BX17" i="4" s="1"/>
  <c r="BX18" i="4" s="1"/>
  <c r="BX19" i="4" s="1"/>
  <c r="BX20" i="4" s="1"/>
  <c r="BX21" i="4" s="1"/>
  <c r="BX22" i="4" s="1"/>
  <c r="BX23" i="4" s="1"/>
  <c r="BX24" i="4" s="1"/>
  <c r="BX25" i="4" s="1"/>
  <c r="BX26" i="4" s="1"/>
  <c r="BX27" i="4" s="1"/>
  <c r="BX28" i="4" s="1"/>
  <c r="BX29" i="4" s="1"/>
  <c r="BX30" i="4" s="1"/>
  <c r="BX31" i="4" s="1"/>
  <c r="BX32" i="4" s="1"/>
  <c r="BX33" i="4" s="1"/>
  <c r="BX34" i="4" s="1"/>
  <c r="BX35" i="4" s="1"/>
  <c r="BX36" i="4" s="1"/>
  <c r="BX37" i="4" s="1"/>
  <c r="BX38" i="4" s="1"/>
  <c r="BX39" i="4" s="1"/>
  <c r="BW9" i="4"/>
  <c r="BV9" i="4"/>
  <c r="BU9" i="4"/>
  <c r="BT9" i="4"/>
  <c r="BS9" i="4"/>
  <c r="BR9" i="4"/>
  <c r="BR10" i="4" s="1"/>
  <c r="BR11" i="4" s="1"/>
  <c r="BR12" i="4" s="1"/>
  <c r="BR13" i="4" s="1"/>
  <c r="BQ9" i="4"/>
  <c r="BP9" i="4"/>
  <c r="BP10" i="4" s="1"/>
  <c r="BO9" i="4"/>
  <c r="BO10" i="4" s="1"/>
  <c r="BO11" i="4" s="1"/>
  <c r="BO12" i="4" s="1"/>
  <c r="BO13" i="4" s="1"/>
  <c r="BO14" i="4" s="1"/>
  <c r="BO15" i="4" s="1"/>
  <c r="BO16" i="4" s="1"/>
  <c r="BO17" i="4" s="1"/>
  <c r="BN9" i="4"/>
  <c r="BN10" i="4" s="1"/>
  <c r="BN11" i="4" s="1"/>
  <c r="BN12" i="4" s="1"/>
  <c r="BN13" i="4" s="1"/>
  <c r="BN14" i="4" s="1"/>
  <c r="BM9" i="4"/>
  <c r="BM10" i="4" s="1"/>
  <c r="BM11" i="4" s="1"/>
  <c r="BM12" i="4" s="1"/>
  <c r="BM13" i="4" s="1"/>
  <c r="BM14" i="4" s="1"/>
  <c r="BL9" i="4"/>
  <c r="BL10" i="4" s="1"/>
  <c r="BL11" i="4" s="1"/>
  <c r="BL12" i="4" s="1"/>
  <c r="BL13" i="4" s="1"/>
  <c r="BL14" i="4" s="1"/>
  <c r="BL15" i="4" s="1"/>
  <c r="BL16" i="4" s="1"/>
  <c r="BL17" i="4" s="1"/>
  <c r="BK9" i="4"/>
  <c r="BJ9" i="4"/>
  <c r="BJ10" i="4" s="1"/>
  <c r="BJ11" i="4" s="1"/>
  <c r="BJ12" i="4" s="1"/>
  <c r="BJ13" i="4" s="1"/>
  <c r="BJ14" i="4" s="1"/>
  <c r="BJ15" i="4" s="1"/>
  <c r="BJ16" i="4" s="1"/>
  <c r="BJ17" i="4" s="1"/>
  <c r="BI9" i="4"/>
  <c r="BH9" i="4"/>
  <c r="AU9" i="4" a="1"/>
  <c r="AU9" i="4" s="1"/>
  <c r="C20" i="4" s="1"/>
  <c r="AK9" i="4"/>
  <c r="AH9" i="4"/>
  <c r="L9" i="4" a="1"/>
  <c r="L9" i="4" s="1"/>
  <c r="E9" i="4"/>
  <c r="C9" i="4"/>
  <c r="AK8" i="4"/>
  <c r="AH8" i="4"/>
  <c r="Z8" i="4"/>
  <c r="L8" i="4"/>
  <c r="L8" i="4" a="1"/>
  <c r="E8" i="4"/>
  <c r="C8" i="4"/>
  <c r="AK7" i="4"/>
  <c r="AH7" i="4"/>
  <c r="Z7" i="4"/>
  <c r="L7" i="4"/>
  <c r="L7" i="4" a="1"/>
  <c r="E7" i="4"/>
  <c r="C7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AK6" i="4"/>
  <c r="AH6" i="4"/>
  <c r="Z6" i="4"/>
  <c r="L6" i="4"/>
  <c r="L6" i="4" a="1"/>
  <c r="E6" i="4"/>
  <c r="C6" i="4"/>
  <c r="AK5" i="4"/>
  <c r="AH5" i="4"/>
  <c r="L5" i="4"/>
  <c r="L5" i="4" a="1"/>
  <c r="E5" i="4"/>
  <c r="C5" i="4"/>
  <c r="AK4" i="4"/>
  <c r="AH4" i="4"/>
  <c r="L4" i="4"/>
  <c r="L4" i="4" a="1"/>
  <c r="E4" i="4"/>
  <c r="C4" i="4"/>
  <c r="AK3" i="4"/>
  <c r="AH3" i="4"/>
  <c r="BC2" i="4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B108" i="3" a="1"/>
  <c r="C107" i="3"/>
  <c r="C101" i="3"/>
  <c r="C100" i="3"/>
  <c r="C85" i="3"/>
  <c r="C85" i="3" a="1"/>
  <c r="C84" i="3"/>
  <c r="O82" i="3"/>
  <c r="B82" i="3"/>
  <c r="O81" i="3"/>
  <c r="O79" i="3"/>
  <c r="O78" i="3"/>
  <c r="AJ75" i="3"/>
  <c r="W74" i="3"/>
  <c r="C74" i="3"/>
  <c r="W73" i="3"/>
  <c r="W72" i="3" s="1"/>
  <c r="W71" i="3"/>
  <c r="C71" i="3"/>
  <c r="W69" i="3"/>
  <c r="W70" i="3" s="1"/>
  <c r="O69" i="3"/>
  <c r="C69" i="3"/>
  <c r="C100" i="4" s="1"/>
  <c r="C70" i="3" s="1"/>
  <c r="W68" i="3"/>
  <c r="O65" i="3"/>
  <c r="C63" i="3"/>
  <c r="AE59" i="3"/>
  <c r="AB59" i="3"/>
  <c r="C59" i="3"/>
  <c r="C56" i="3"/>
  <c r="C49" i="3"/>
  <c r="C17" i="2" s="1"/>
  <c r="B46" i="3"/>
  <c r="C44" i="3"/>
  <c r="C43" i="3"/>
  <c r="C37" i="3"/>
  <c r="C21" i="3"/>
  <c r="C13" i="3"/>
  <c r="AN11" i="3" s="1"/>
  <c r="AQ11" i="3"/>
  <c r="AP11" i="3"/>
  <c r="AO11" i="3"/>
  <c r="AC11" i="3"/>
  <c r="AG9" i="3"/>
  <c r="Y9" i="3"/>
  <c r="T9" i="3"/>
  <c r="AG8" i="3"/>
  <c r="Y8" i="3"/>
  <c r="AH7" i="3"/>
  <c r="AG7" i="3"/>
  <c r="AB7" i="3"/>
  <c r="Y7" i="3"/>
  <c r="X7" i="3"/>
  <c r="U7" i="3"/>
  <c r="S7" i="3" a="1"/>
  <c r="S7" i="3" s="1"/>
  <c r="AM6" i="3"/>
  <c r="AM7" i="3" s="1"/>
  <c r="AL6" i="3"/>
  <c r="AH6" i="3"/>
  <c r="AG6" i="3"/>
  <c r="AA6" i="3"/>
  <c r="Y6" i="3"/>
  <c r="W6" i="3"/>
  <c r="U6" i="3"/>
  <c r="AP5" i="3"/>
  <c r="AO5" i="3"/>
  <c r="X4" i="3"/>
  <c r="L28" i="2"/>
  <c r="K28" i="2"/>
  <c r="J28" i="2"/>
  <c r="I28" i="2"/>
  <c r="H28" i="2"/>
  <c r="G28" i="2"/>
  <c r="F28" i="2"/>
  <c r="C28" i="2"/>
  <c r="B28" i="2"/>
  <c r="L27" i="2"/>
  <c r="K27" i="2"/>
  <c r="J27" i="2"/>
  <c r="I27" i="2"/>
  <c r="H27" i="2"/>
  <c r="G27" i="2"/>
  <c r="F27" i="2"/>
  <c r="C27" i="2"/>
  <c r="B27" i="2"/>
  <c r="L26" i="2"/>
  <c r="K26" i="2"/>
  <c r="J26" i="2"/>
  <c r="I26" i="2"/>
  <c r="H26" i="2"/>
  <c r="G26" i="2"/>
  <c r="F26" i="2"/>
  <c r="C26" i="2"/>
  <c r="B26" i="2"/>
  <c r="L25" i="2"/>
  <c r="K25" i="2"/>
  <c r="J25" i="2"/>
  <c r="I25" i="2"/>
  <c r="H25" i="2"/>
  <c r="G25" i="2"/>
  <c r="F25" i="2"/>
  <c r="C25" i="2"/>
  <c r="L24" i="2"/>
  <c r="K24" i="2"/>
  <c r="J24" i="2"/>
  <c r="I24" i="2"/>
  <c r="H24" i="2"/>
  <c r="G24" i="2"/>
  <c r="F24" i="2"/>
  <c r="C24" i="2"/>
  <c r="L23" i="2"/>
  <c r="K23" i="2"/>
  <c r="J23" i="2"/>
  <c r="I23" i="2"/>
  <c r="H23" i="2"/>
  <c r="G23" i="2"/>
  <c r="F23" i="2"/>
  <c r="C23" i="2"/>
  <c r="L22" i="2"/>
  <c r="K22" i="2"/>
  <c r="J22" i="2"/>
  <c r="I22" i="2"/>
  <c r="H22" i="2"/>
  <c r="G22" i="2"/>
  <c r="F22" i="2"/>
  <c r="L21" i="2"/>
  <c r="K21" i="2"/>
  <c r="J21" i="2"/>
  <c r="I21" i="2"/>
  <c r="H21" i="2"/>
  <c r="G21" i="2"/>
  <c r="F21" i="2"/>
  <c r="C21" i="2"/>
  <c r="B21" i="2"/>
  <c r="L20" i="2"/>
  <c r="K20" i="2"/>
  <c r="J20" i="2"/>
  <c r="I20" i="2"/>
  <c r="H20" i="2"/>
  <c r="G20" i="2"/>
  <c r="F20" i="2"/>
  <c r="C20" i="2"/>
  <c r="B20" i="2"/>
  <c r="L19" i="2"/>
  <c r="K19" i="2"/>
  <c r="J19" i="2"/>
  <c r="I19" i="2"/>
  <c r="H19" i="2"/>
  <c r="G19" i="2"/>
  <c r="F19" i="2"/>
  <c r="C19" i="2"/>
  <c r="B19" i="2"/>
  <c r="L18" i="2"/>
  <c r="K18" i="2"/>
  <c r="J18" i="2"/>
  <c r="I18" i="2"/>
  <c r="H18" i="2"/>
  <c r="G18" i="2"/>
  <c r="F18" i="2"/>
  <c r="C18" i="2"/>
  <c r="L17" i="2"/>
  <c r="K17" i="2"/>
  <c r="J17" i="2"/>
  <c r="I17" i="2"/>
  <c r="H17" i="2"/>
  <c r="G17" i="2"/>
  <c r="F17" i="2"/>
  <c r="L16" i="2"/>
  <c r="K16" i="2"/>
  <c r="J16" i="2"/>
  <c r="I16" i="2"/>
  <c r="H16" i="2"/>
  <c r="G16" i="2"/>
  <c r="F16" i="2"/>
  <c r="C16" i="2"/>
  <c r="L15" i="2"/>
  <c r="K15" i="2"/>
  <c r="J15" i="2"/>
  <c r="I15" i="2"/>
  <c r="H15" i="2"/>
  <c r="G15" i="2"/>
  <c r="F15" i="2"/>
  <c r="C15" i="2"/>
  <c r="L14" i="2"/>
  <c r="K14" i="2"/>
  <c r="J14" i="2"/>
  <c r="I14" i="2"/>
  <c r="H14" i="2"/>
  <c r="G14" i="2"/>
  <c r="F14" i="2"/>
  <c r="C14" i="2"/>
  <c r="P13" i="2"/>
  <c r="C13" i="2"/>
  <c r="C12" i="2"/>
  <c r="AJ11" i="2"/>
  <c r="AI11" i="2"/>
  <c r="AH11" i="2"/>
  <c r="AB11" i="2"/>
  <c r="AA11" i="2"/>
  <c r="Z11" i="2"/>
  <c r="Y11" i="2"/>
  <c r="T11" i="2"/>
  <c r="C11" i="2"/>
  <c r="C10" i="2"/>
  <c r="P2" i="2" s="1"/>
  <c r="W6" i="2"/>
  <c r="W11" i="2" s="1"/>
  <c r="W13" i="2" s="1" a="1"/>
  <c r="W13" i="2" s="1"/>
  <c r="V6" i="2"/>
  <c r="V11" i="2" s="1"/>
  <c r="U6" i="2"/>
  <c r="U11" i="2" s="1"/>
  <c r="T6" i="2"/>
  <c r="S6" i="2"/>
  <c r="S11" i="2" s="1"/>
  <c r="P4" i="2"/>
  <c r="B2" i="2"/>
  <c r="AQ5" i="3"/>
  <c r="V5" i="3"/>
  <c r="S5" i="3"/>
  <c r="P11" i="3" a="1"/>
  <c r="U5" i="3"/>
  <c r="AG5" i="3"/>
  <c r="P5" i="3"/>
  <c r="AR5" i="3"/>
  <c r="AM5" i="3"/>
  <c r="Y5" i="3"/>
  <c r="AJ5" i="3"/>
  <c r="AU5" i="3"/>
  <c r="AH5" i="3"/>
  <c r="X5" i="3"/>
  <c r="AT5" i="3"/>
  <c r="Q5" i="3"/>
  <c r="AS5" i="3"/>
  <c r="W5" i="3"/>
  <c r="P11" i="3" l="1"/>
  <c r="B27" i="3"/>
  <c r="C54" i="3"/>
  <c r="O12" i="3"/>
  <c r="AA7" i="3"/>
  <c r="V13" i="2" a="1"/>
  <c r="V13" i="2" s="1"/>
  <c r="Q13" i="2"/>
  <c r="Z13" i="2"/>
  <c r="AA13" i="2"/>
  <c r="BD33" i="4"/>
  <c r="BD31" i="4"/>
  <c r="BF23" i="4"/>
  <c r="BF21" i="4"/>
  <c r="BF19" i="4"/>
  <c r="BE17" i="4"/>
  <c r="BE23" i="4"/>
  <c r="BE21" i="4"/>
  <c r="BE19" i="4"/>
  <c r="BD17" i="4"/>
  <c r="BF15" i="4"/>
  <c r="BF27" i="4"/>
  <c r="BF25" i="4"/>
  <c r="BD23" i="4"/>
  <c r="BD21" i="4"/>
  <c r="BD19" i="4"/>
  <c r="BE15" i="4"/>
  <c r="BE8" i="4"/>
  <c r="BE27" i="4"/>
  <c r="BE25" i="4"/>
  <c r="BD15" i="4"/>
  <c r="BF13" i="4"/>
  <c r="BD8" i="4"/>
  <c r="BF39" i="4"/>
  <c r="BF37" i="4"/>
  <c r="BF35" i="4"/>
  <c r="BF29" i="4"/>
  <c r="BD27" i="4"/>
  <c r="BD25" i="4"/>
  <c r="BE13" i="4"/>
  <c r="BF11" i="4"/>
  <c r="BF9" i="4"/>
  <c r="BE39" i="4"/>
  <c r="BE37" i="4"/>
  <c r="BE35" i="4"/>
  <c r="BF32" i="4"/>
  <c r="BE29" i="4"/>
  <c r="BF18" i="4"/>
  <c r="BD13" i="4"/>
  <c r="BD32" i="4"/>
  <c r="BF22" i="4"/>
  <c r="BF20" i="4"/>
  <c r="BD18" i="4"/>
  <c r="BF16" i="4"/>
  <c r="BF34" i="4"/>
  <c r="BF28" i="4"/>
  <c r="BF26" i="4"/>
  <c r="BF24" i="4"/>
  <c r="BD22" i="4"/>
  <c r="BD20" i="4"/>
  <c r="BE34" i="4"/>
  <c r="BE28" i="4"/>
  <c r="BE26" i="4"/>
  <c r="BE24" i="4"/>
  <c r="BD30" i="4"/>
  <c r="BD24" i="4"/>
  <c r="BE14" i="4"/>
  <c r="BD39" i="4"/>
  <c r="BE38" i="4"/>
  <c r="BF36" i="4"/>
  <c r="BD38" i="4"/>
  <c r="BD37" i="4"/>
  <c r="BE36" i="4"/>
  <c r="BD34" i="4"/>
  <c r="BD16" i="4"/>
  <c r="BD9" i="4"/>
  <c r="BD36" i="4"/>
  <c r="BD28" i="4"/>
  <c r="BF7" i="4"/>
  <c r="BE18" i="4"/>
  <c r="BE7" i="4"/>
  <c r="BE31" i="4"/>
  <c r="BF31" i="4"/>
  <c r="BE16" i="4"/>
  <c r="BE10" i="4"/>
  <c r="BF8" i="4"/>
  <c r="BF17" i="4"/>
  <c r="BD10" i="4"/>
  <c r="BE20" i="4"/>
  <c r="BF14" i="4"/>
  <c r="BF38" i="4"/>
  <c r="BD14" i="4"/>
  <c r="BE11" i="4"/>
  <c r="BD26" i="4"/>
  <c r="BE22" i="4"/>
  <c r="BF33" i="4"/>
  <c r="BE33" i="4"/>
  <c r="BE32" i="4"/>
  <c r="BD29" i="4"/>
  <c r="BE12" i="4"/>
  <c r="BD7" i="4"/>
  <c r="BF12" i="4"/>
  <c r="BD11" i="4"/>
  <c r="BF30" i="4"/>
  <c r="BD12" i="4"/>
  <c r="BE30" i="4"/>
  <c r="BF10" i="4"/>
  <c r="BE9" i="4"/>
  <c r="BD35" i="4"/>
  <c r="C50" i="3"/>
  <c r="C51" i="3" s="1"/>
  <c r="E116" i="3"/>
  <c r="E114" i="3"/>
  <c r="E112" i="3"/>
  <c r="E111" i="3"/>
  <c r="E120" i="3"/>
  <c r="E118" i="3"/>
  <c r="E117" i="3"/>
  <c r="E113" i="3"/>
  <c r="E110" i="3"/>
  <c r="B108" i="3"/>
  <c r="E122" i="3"/>
  <c r="E121" i="3"/>
  <c r="E119" i="3"/>
  <c r="E115" i="3"/>
  <c r="E109" i="3"/>
  <c r="W82" i="3"/>
  <c r="W81" i="3"/>
  <c r="W79" i="3"/>
  <c r="W78" i="3"/>
  <c r="O4" i="3"/>
  <c r="AB6" i="3"/>
  <c r="AN5" i="3"/>
  <c r="C65" i="4"/>
  <c r="C64" i="4"/>
  <c r="C63" i="4"/>
  <c r="C62" i="4"/>
  <c r="C61" i="4"/>
  <c r="C60" i="4"/>
  <c r="C58" i="4"/>
  <c r="C57" i="4"/>
  <c r="C70" i="4"/>
  <c r="C56" i="4"/>
  <c r="C69" i="4"/>
  <c r="C67" i="4"/>
  <c r="C66" i="4"/>
  <c r="C59" i="4"/>
  <c r="Z44" i="4"/>
  <c r="Z45" i="4"/>
  <c r="C68" i="4"/>
  <c r="C74" i="4"/>
  <c r="C73" i="4"/>
  <c r="C82" i="4"/>
  <c r="C81" i="4"/>
  <c r="C80" i="4"/>
  <c r="C79" i="4"/>
  <c r="C78" i="4"/>
  <c r="C91" i="4"/>
  <c r="C77" i="4"/>
  <c r="C89" i="4"/>
  <c r="C88" i="4"/>
  <c r="C87" i="4"/>
  <c r="C86" i="4"/>
  <c r="C103" i="4"/>
  <c r="AL11" i="3"/>
  <c r="T5" i="3"/>
  <c r="AA5" i="3"/>
  <c r="AE5" i="3"/>
  <c r="R5" i="3"/>
  <c r="AL5" i="3"/>
  <c r="AB5" i="3"/>
  <c r="R11" i="3"/>
  <c r="O13" i="3" l="1"/>
  <c r="AC12" i="3"/>
  <c r="AP12" i="3"/>
  <c r="AQ12" i="3"/>
  <c r="AO12" i="3"/>
  <c r="AN12" i="3"/>
  <c r="C142" i="3" a="1"/>
  <c r="C142" i="3" s="1"/>
  <c r="B142" i="3" a="1"/>
  <c r="B142" i="3" s="1"/>
  <c r="O3" i="3" s="1"/>
  <c r="B106" i="3"/>
  <c r="F38" i="2"/>
  <c r="E30" i="2"/>
  <c r="F41" i="2"/>
  <c r="F40" i="2"/>
  <c r="F42" i="2"/>
  <c r="F39" i="2"/>
  <c r="F37" i="2"/>
  <c r="B25" i="3"/>
  <c r="C16" i="3"/>
  <c r="C53" i="3" a="1"/>
  <c r="C53" i="3" s="1"/>
  <c r="B28" i="3"/>
  <c r="AJ11" i="3"/>
  <c r="AE11" i="3"/>
  <c r="V11" i="3"/>
  <c r="W11" i="3"/>
  <c r="AG11" i="3"/>
  <c r="AU11" i="3"/>
  <c r="Q11" i="3"/>
  <c r="AS11" i="3"/>
  <c r="AR11" i="3"/>
  <c r="AM11" i="3"/>
  <c r="S11" i="3"/>
  <c r="AA11" i="3"/>
  <c r="T11" i="3" s="1" a="1"/>
  <c r="Y11" i="3"/>
  <c r="X11" i="3"/>
  <c r="AT11" i="3"/>
  <c r="P12" i="3" a="1"/>
  <c r="U11" i="3"/>
  <c r="AH11" i="3"/>
  <c r="AC13" i="2" l="1"/>
  <c r="X13" i="2"/>
  <c r="T11" i="3"/>
  <c r="AF13" i="2"/>
  <c r="Z11" i="3"/>
  <c r="R13" i="2"/>
  <c r="AI11" i="3"/>
  <c r="AH13" i="2"/>
  <c r="AK13" i="2"/>
  <c r="AG13" i="2"/>
  <c r="AB13" i="2"/>
  <c r="AA59" i="3"/>
  <c r="T10" i="3" a="1"/>
  <c r="T10" i="3" s="1"/>
  <c r="Y12" i="2" s="1"/>
  <c r="AJ13" i="2"/>
  <c r="AI13" i="2"/>
  <c r="P12" i="3"/>
  <c r="C141" i="3"/>
  <c r="E7" i="2" s="1"/>
  <c r="E10" i="2" a="1"/>
  <c r="Z14" i="4"/>
  <c r="Z5" i="4"/>
  <c r="Z3" i="4"/>
  <c r="Z4" i="4"/>
  <c r="Z15" i="4"/>
  <c r="Z13" i="4"/>
  <c r="C57" i="3"/>
  <c r="AO13" i="3"/>
  <c r="AC13" i="3"/>
  <c r="AQ13" i="3"/>
  <c r="AP13" i="3"/>
  <c r="AN13" i="3"/>
  <c r="O14" i="3"/>
  <c r="P13" i="3" a="1"/>
  <c r="S13" i="2" a="1"/>
  <c r="U13" i="2" a="1"/>
  <c r="T13" i="2" a="1"/>
  <c r="R12" i="3"/>
  <c r="T13" i="2" l="1"/>
  <c r="U13" i="2"/>
  <c r="S13" i="2"/>
  <c r="P13" i="3"/>
  <c r="AD13" i="2"/>
  <c r="L12" i="2"/>
  <c r="J12" i="2"/>
  <c r="H12" i="2"/>
  <c r="L11" i="2"/>
  <c r="I12" i="2"/>
  <c r="L13" i="2"/>
  <c r="G12" i="2"/>
  <c r="K13" i="2"/>
  <c r="F12" i="2"/>
  <c r="I13" i="2"/>
  <c r="J11" i="2"/>
  <c r="H13" i="2"/>
  <c r="I11" i="2"/>
  <c r="K12" i="2"/>
  <c r="F11" i="2"/>
  <c r="E10" i="2"/>
  <c r="F13" i="2"/>
  <c r="G11" i="2"/>
  <c r="K11" i="2"/>
  <c r="H11" i="2"/>
  <c r="J13" i="2"/>
  <c r="G13" i="2"/>
  <c r="E33" i="2" a="1"/>
  <c r="AD60" i="2"/>
  <c r="AB60" i="2"/>
  <c r="Z60" i="2"/>
  <c r="AK60" i="2"/>
  <c r="AH60" i="2"/>
  <c r="AG60" i="2"/>
  <c r="AF60" i="2"/>
  <c r="P14" i="2"/>
  <c r="AE13" i="2"/>
  <c r="AP14" i="3"/>
  <c r="AO14" i="3"/>
  <c r="AQ14" i="3"/>
  <c r="O15" i="3"/>
  <c r="AN14" i="3"/>
  <c r="AC14" i="3"/>
  <c r="T59" i="3"/>
  <c r="Y13" i="2"/>
  <c r="Y60" i="2" s="1"/>
  <c r="V12" i="3"/>
  <c r="AJ12" i="3"/>
  <c r="U12" i="3"/>
  <c r="AT12" i="3"/>
  <c r="AH12" i="3"/>
  <c r="Y12" i="3"/>
  <c r="AG12" i="3"/>
  <c r="Q12" i="3"/>
  <c r="AE12" i="3"/>
  <c r="P14" i="3" a="1"/>
  <c r="AM12" i="3"/>
  <c r="R13" i="3"/>
  <c r="AL12" i="3"/>
  <c r="X12" i="3"/>
  <c r="AU12" i="3"/>
  <c r="W12" i="3"/>
  <c r="S12" i="3"/>
  <c r="S59" i="3" s="1" a="1"/>
  <c r="AA12" i="3"/>
  <c r="AR12" i="3"/>
  <c r="AS12" i="3"/>
  <c r="S59" i="3" l="1"/>
  <c r="AI12" i="3"/>
  <c r="Z12" i="3"/>
  <c r="S60" i="3"/>
  <c r="P14" i="3"/>
  <c r="AO15" i="3"/>
  <c r="O16" i="3"/>
  <c r="AC15" i="3"/>
  <c r="AP15" i="3"/>
  <c r="AN15" i="3"/>
  <c r="AQ15" i="3"/>
  <c r="P15" i="2"/>
  <c r="L10" i="2"/>
  <c r="J10" i="2"/>
  <c r="I10" i="2"/>
  <c r="H10" i="2"/>
  <c r="G10" i="2"/>
  <c r="F10" i="2"/>
  <c r="K10" i="2"/>
  <c r="AJ14" i="2"/>
  <c r="W14" i="2" a="1"/>
  <c r="W14" i="2" s="1"/>
  <c r="AH14" i="2"/>
  <c r="V14" i="2" a="1"/>
  <c r="V14" i="2" s="1"/>
  <c r="AF14" i="2"/>
  <c r="U14" i="2" a="1"/>
  <c r="U14" i="2" s="1"/>
  <c r="AG14" i="2"/>
  <c r="AE14" i="2"/>
  <c r="AE60" i="2" s="1"/>
  <c r="AD14" i="2"/>
  <c r="T14" i="2" a="1"/>
  <c r="T14" i="2" s="1"/>
  <c r="AB14" i="2"/>
  <c r="S14" i="2" a="1"/>
  <c r="S14" i="2" s="1"/>
  <c r="AA14" i="2"/>
  <c r="AA60" i="2" s="1"/>
  <c r="R14" i="2"/>
  <c r="Q14" i="2"/>
  <c r="AK14" i="2"/>
  <c r="AI14" i="2"/>
  <c r="AC14" i="2"/>
  <c r="AC60" i="2" s="1"/>
  <c r="Z14" i="2"/>
  <c r="Y14" i="2"/>
  <c r="X14" i="2"/>
  <c r="F34" i="2"/>
  <c r="F36" i="2"/>
  <c r="E33" i="2"/>
  <c r="F35" i="2"/>
  <c r="T12" i="3" a="1"/>
  <c r="U60" i="2" a="1"/>
  <c r="Y13" i="3"/>
  <c r="S60" i="2" a="1"/>
  <c r="AG13" i="3"/>
  <c r="AH13" i="3"/>
  <c r="AJ13" i="3"/>
  <c r="W13" i="3"/>
  <c r="Q13" i="3"/>
  <c r="X13" i="3"/>
  <c r="T60" i="2" a="1"/>
  <c r="AU13" i="3"/>
  <c r="W60" i="2" a="1"/>
  <c r="AM13" i="3"/>
  <c r="U13" i="3"/>
  <c r="AR13" i="3"/>
  <c r="AL13" i="3"/>
  <c r="S13" i="3"/>
  <c r="P15" i="3" a="1"/>
  <c r="X60" i="2" a="1"/>
  <c r="V60" i="2" a="1"/>
  <c r="AT13" i="3"/>
  <c r="AE13" i="3"/>
  <c r="V13" i="3"/>
  <c r="AS13" i="3"/>
  <c r="R14" i="3"/>
  <c r="AA13" i="3"/>
  <c r="T12" i="3" l="1"/>
  <c r="Z13" i="3"/>
  <c r="W60" i="2"/>
  <c r="AI13" i="3"/>
  <c r="P15" i="3"/>
  <c r="S60" i="2"/>
  <c r="U60" i="2"/>
  <c r="T60" i="2"/>
  <c r="V60" i="2"/>
  <c r="X60" i="2"/>
  <c r="AC15" i="2"/>
  <c r="AA15" i="2"/>
  <c r="R15" i="2"/>
  <c r="Z15" i="2"/>
  <c r="Q15" i="2"/>
  <c r="Y15" i="2"/>
  <c r="X15" i="2"/>
  <c r="AK15" i="2"/>
  <c r="AI15" i="2"/>
  <c r="AH15" i="2"/>
  <c r="V15" i="2" a="1"/>
  <c r="V15" i="2" s="1"/>
  <c r="AG15" i="2"/>
  <c r="AF15" i="2"/>
  <c r="AE15" i="2"/>
  <c r="AB15" i="2"/>
  <c r="W15" i="2" a="1"/>
  <c r="W15" i="2" s="1"/>
  <c r="AD15" i="2"/>
  <c r="U15" i="2" a="1"/>
  <c r="U15" i="2" s="1"/>
  <c r="AJ15" i="2"/>
  <c r="S15" i="2" a="1"/>
  <c r="S15" i="2" s="1"/>
  <c r="T15" i="2" a="1"/>
  <c r="T15" i="2" s="1"/>
  <c r="O17" i="3"/>
  <c r="AP16" i="3"/>
  <c r="AO16" i="3"/>
  <c r="AN16" i="3"/>
  <c r="AC16" i="3"/>
  <c r="AQ16" i="3"/>
  <c r="P16" i="2"/>
  <c r="F33" i="2"/>
  <c r="T13" i="3" a="1"/>
  <c r="S14" i="3"/>
  <c r="AJ14" i="3"/>
  <c r="R15" i="3"/>
  <c r="AT14" i="3"/>
  <c r="U14" i="3"/>
  <c r="AH14" i="3"/>
  <c r="W14" i="3"/>
  <c r="AE14" i="3"/>
  <c r="AU14" i="3"/>
  <c r="AL14" i="3"/>
  <c r="AR14" i="3"/>
  <c r="AS14" i="3"/>
  <c r="P16" i="3" a="1"/>
  <c r="AA14" i="3"/>
  <c r="T14" i="3" s="1" a="1"/>
  <c r="AG14" i="3"/>
  <c r="AM14" i="3"/>
  <c r="Q14" i="3"/>
  <c r="Y14" i="3"/>
  <c r="V14" i="3"/>
  <c r="X14" i="3"/>
  <c r="T13" i="3" l="1"/>
  <c r="T14" i="3"/>
  <c r="Z14" i="3"/>
  <c r="AI14" i="3"/>
  <c r="P16" i="3"/>
  <c r="P17" i="2"/>
  <c r="AJ16" i="2"/>
  <c r="W16" i="2" a="1"/>
  <c r="W16" i="2" s="1"/>
  <c r="AH16" i="2"/>
  <c r="V16" i="2" a="1"/>
  <c r="V16" i="2" s="1"/>
  <c r="AG16" i="2"/>
  <c r="AF16" i="2"/>
  <c r="U16" i="2" a="1"/>
  <c r="U16" i="2" s="1"/>
  <c r="AE16" i="2"/>
  <c r="AD16" i="2"/>
  <c r="T16" i="2" a="1"/>
  <c r="T16" i="2" s="1"/>
  <c r="AB16" i="2"/>
  <c r="S16" i="2" a="1"/>
  <c r="S16" i="2" s="1"/>
  <c r="AA16" i="2"/>
  <c r="R16" i="2"/>
  <c r="Q16" i="2"/>
  <c r="X16" i="2"/>
  <c r="Y16" i="2"/>
  <c r="Z16" i="2"/>
  <c r="AK16" i="2"/>
  <c r="AC16" i="2"/>
  <c r="AI16" i="2"/>
  <c r="AC17" i="3"/>
  <c r="AQ17" i="3"/>
  <c r="O18" i="3"/>
  <c r="AO17" i="3"/>
  <c r="AP17" i="3"/>
  <c r="AN17" i="3"/>
  <c r="AJ15" i="3"/>
  <c r="P17" i="3" a="1"/>
  <c r="Y15" i="3"/>
  <c r="X15" i="3"/>
  <c r="V15" i="3"/>
  <c r="Q15" i="3"/>
  <c r="AT15" i="3"/>
  <c r="R16" i="3"/>
  <c r="AA15" i="3"/>
  <c r="AH15" i="3"/>
  <c r="AE15" i="3"/>
  <c r="AG15" i="3"/>
  <c r="AR15" i="3"/>
  <c r="AS15" i="3"/>
  <c r="AL15" i="3"/>
  <c r="T15" i="3" a="1"/>
  <c r="W15" i="3"/>
  <c r="S15" i="3"/>
  <c r="AM15" i="3"/>
  <c r="U15" i="3"/>
  <c r="AU15" i="3"/>
  <c r="T15" i="3" l="1"/>
  <c r="P17" i="3"/>
  <c r="Z15" i="3"/>
  <c r="AI15" i="3"/>
  <c r="AC17" i="2"/>
  <c r="AA17" i="2"/>
  <c r="R17" i="2"/>
  <c r="Z17" i="2"/>
  <c r="Q17" i="2"/>
  <c r="Y17" i="2"/>
  <c r="X17" i="2"/>
  <c r="AK17" i="2"/>
  <c r="AI17" i="2"/>
  <c r="AH17" i="2"/>
  <c r="V17" i="2" a="1"/>
  <c r="V17" i="2" s="1"/>
  <c r="AJ17" i="2"/>
  <c r="AG17" i="2"/>
  <c r="AE17" i="2"/>
  <c r="T17" i="2" a="1"/>
  <c r="T17" i="2" s="1"/>
  <c r="AF17" i="2"/>
  <c r="S17" i="2" a="1"/>
  <c r="S17" i="2" s="1"/>
  <c r="AD17" i="2"/>
  <c r="AB17" i="2"/>
  <c r="W17" i="2" a="1"/>
  <c r="W17" i="2" s="1"/>
  <c r="U17" i="2" a="1"/>
  <c r="U17" i="2" s="1"/>
  <c r="AC18" i="3"/>
  <c r="AQ18" i="3"/>
  <c r="AP18" i="3"/>
  <c r="AO18" i="3"/>
  <c r="AN18" i="3"/>
  <c r="O19" i="3"/>
  <c r="P18" i="2"/>
  <c r="AG16" i="3"/>
  <c r="AL16" i="3"/>
  <c r="AJ16" i="3"/>
  <c r="W16" i="3"/>
  <c r="AE16" i="3"/>
  <c r="R17" i="3"/>
  <c r="AM16" i="3"/>
  <c r="P18" i="3" a="1"/>
  <c r="S16" i="3"/>
  <c r="AU16" i="3"/>
  <c r="U16" i="3"/>
  <c r="AR16" i="3"/>
  <c r="AT16" i="3"/>
  <c r="AA16" i="3"/>
  <c r="T16" i="3" s="1" a="1"/>
  <c r="Y16" i="3"/>
  <c r="AS16" i="3"/>
  <c r="V16" i="3"/>
  <c r="Q16" i="3"/>
  <c r="X16" i="3"/>
  <c r="AH16" i="3"/>
  <c r="T16" i="3" l="1"/>
  <c r="AI16" i="3"/>
  <c r="Z16" i="3"/>
  <c r="P18" i="3"/>
  <c r="AQ19" i="3"/>
  <c r="O20" i="3"/>
  <c r="AP19" i="3"/>
  <c r="AO19" i="3"/>
  <c r="AC19" i="3"/>
  <c r="AN19" i="3"/>
  <c r="P19" i="2"/>
  <c r="AJ18" i="2"/>
  <c r="W18" i="2" a="1"/>
  <c r="W18" i="2" s="1"/>
  <c r="AH18" i="2"/>
  <c r="V18" i="2" a="1"/>
  <c r="V18" i="2" s="1"/>
  <c r="AG18" i="2"/>
  <c r="AF18" i="2"/>
  <c r="U18" i="2" a="1"/>
  <c r="U18" i="2" s="1"/>
  <c r="AE18" i="2"/>
  <c r="AD18" i="2"/>
  <c r="T18" i="2" a="1"/>
  <c r="T18" i="2" s="1"/>
  <c r="AB18" i="2"/>
  <c r="S18" i="2" a="1"/>
  <c r="S18" i="2" s="1"/>
  <c r="AA18" i="2"/>
  <c r="R18" i="2"/>
  <c r="Z18" i="2"/>
  <c r="Y18" i="2"/>
  <c r="X18" i="2"/>
  <c r="Q18" i="2"/>
  <c r="AK18" i="2"/>
  <c r="AC18" i="2"/>
  <c r="AI18" i="2"/>
  <c r="R18" i="3"/>
  <c r="AT17" i="3"/>
  <c r="AH17" i="3"/>
  <c r="AU17" i="3"/>
  <c r="P19" i="3" a="1"/>
  <c r="AJ17" i="3"/>
  <c r="U17" i="3"/>
  <c r="Q17" i="3"/>
  <c r="X17" i="3"/>
  <c r="AR17" i="3"/>
  <c r="V17" i="3"/>
  <c r="AE17" i="3"/>
  <c r="Y17" i="3"/>
  <c r="AM17" i="3"/>
  <c r="AG17" i="3"/>
  <c r="AL17" i="3"/>
  <c r="AA17" i="3"/>
  <c r="T17" i="3" s="1" a="1"/>
  <c r="S17" i="3"/>
  <c r="AS17" i="3"/>
  <c r="W17" i="3"/>
  <c r="T17" i="3" l="1"/>
  <c r="AI17" i="3"/>
  <c r="Z17" i="3"/>
  <c r="P19" i="3"/>
  <c r="AN20" i="3"/>
  <c r="AC20" i="3"/>
  <c r="AQ20" i="3"/>
  <c r="AP20" i="3"/>
  <c r="AO20" i="3"/>
  <c r="O21" i="3"/>
  <c r="P20" i="2"/>
  <c r="AI19" i="2"/>
  <c r="AB19" i="2"/>
  <c r="S19" i="2" a="1"/>
  <c r="S19" i="2" s="1"/>
  <c r="Z19" i="2"/>
  <c r="Q19" i="2"/>
  <c r="Y19" i="2"/>
  <c r="X19" i="2"/>
  <c r="AK19" i="2"/>
  <c r="W19" i="2" a="1"/>
  <c r="W19" i="2" s="1"/>
  <c r="AH19" i="2"/>
  <c r="V19" i="2" a="1"/>
  <c r="V19" i="2" s="1"/>
  <c r="AG19" i="2"/>
  <c r="R19" i="2"/>
  <c r="U19" i="2" a="1"/>
  <c r="U19" i="2" s="1"/>
  <c r="AJ19" i="2"/>
  <c r="AF19" i="2"/>
  <c r="T19" i="2" a="1"/>
  <c r="T19" i="2" s="1"/>
  <c r="AE19" i="2"/>
  <c r="AD19" i="2"/>
  <c r="AC19" i="2"/>
  <c r="AA19" i="2"/>
  <c r="V18" i="3"/>
  <c r="X18" i="3"/>
  <c r="AA18" i="3"/>
  <c r="W18" i="3"/>
  <c r="AH18" i="3"/>
  <c r="S18" i="3"/>
  <c r="T18" i="3" a="1"/>
  <c r="AS18" i="3"/>
  <c r="Q18" i="3"/>
  <c r="Y18" i="3"/>
  <c r="AG18" i="3"/>
  <c r="AU18" i="3"/>
  <c r="AL18" i="3"/>
  <c r="AR18" i="3"/>
  <c r="R19" i="3"/>
  <c r="U18" i="3"/>
  <c r="AJ18" i="3"/>
  <c r="AM18" i="3"/>
  <c r="AT18" i="3"/>
  <c r="AE18" i="3"/>
  <c r="P20" i="3" a="1"/>
  <c r="Z18" i="3" l="1"/>
  <c r="T18" i="3"/>
  <c r="AI18" i="3"/>
  <c r="P20" i="3"/>
  <c r="AB20" i="2"/>
  <c r="S20" i="2" a="1"/>
  <c r="S20" i="2" s="1"/>
  <c r="AA20" i="2"/>
  <c r="R20" i="2"/>
  <c r="Z20" i="2"/>
  <c r="Q20" i="2"/>
  <c r="X20" i="2"/>
  <c r="W20" i="2" a="1"/>
  <c r="W20" i="2" s="1"/>
  <c r="AK20" i="2"/>
  <c r="V20" i="2" a="1"/>
  <c r="V20" i="2" s="1"/>
  <c r="AJ20" i="2"/>
  <c r="AI20" i="2"/>
  <c r="U20" i="2" a="1"/>
  <c r="U20" i="2" s="1"/>
  <c r="AG20" i="2"/>
  <c r="T20" i="2" a="1"/>
  <c r="T20" i="2" s="1"/>
  <c r="AF20" i="2"/>
  <c r="AH20" i="2"/>
  <c r="AE20" i="2"/>
  <c r="Y20" i="2"/>
  <c r="AD20" i="2"/>
  <c r="AC20" i="2"/>
  <c r="AQ21" i="3"/>
  <c r="AP21" i="3"/>
  <c r="AO21" i="3"/>
  <c r="AN21" i="3"/>
  <c r="O22" i="3"/>
  <c r="AC21" i="3"/>
  <c r="P21" i="2"/>
  <c r="AE19" i="3"/>
  <c r="W19" i="3"/>
  <c r="R20" i="3"/>
  <c r="AM19" i="3"/>
  <c r="V19" i="3"/>
  <c r="X19" i="3"/>
  <c r="Q19" i="3"/>
  <c r="AT19" i="3"/>
  <c r="AJ19" i="3"/>
  <c r="AH19" i="3"/>
  <c r="AA19" i="3"/>
  <c r="AL19" i="3"/>
  <c r="S19" i="3"/>
  <c r="AS19" i="3"/>
  <c r="AG19" i="3"/>
  <c r="T19" i="3" a="1"/>
  <c r="Y19" i="3"/>
  <c r="U19" i="3"/>
  <c r="AR19" i="3"/>
  <c r="P21" i="3" a="1"/>
  <c r="AU19" i="3"/>
  <c r="Z19" i="3" l="1"/>
  <c r="AI19" i="3"/>
  <c r="P21" i="3"/>
  <c r="T19" i="3"/>
  <c r="AH21" i="2"/>
  <c r="V21" i="2" a="1"/>
  <c r="V21" i="2" s="1"/>
  <c r="AG21" i="2"/>
  <c r="AF21" i="2"/>
  <c r="U21" i="2" a="1"/>
  <c r="U21" i="2" s="1"/>
  <c r="AD21" i="2"/>
  <c r="W21" i="2" a="1"/>
  <c r="W21" i="2" s="1"/>
  <c r="AJ21" i="2"/>
  <c r="AK21" i="2"/>
  <c r="T21" i="2" a="1"/>
  <c r="T21" i="2" s="1"/>
  <c r="AI21" i="2"/>
  <c r="S21" i="2" a="1"/>
  <c r="S21" i="2" s="1"/>
  <c r="AE21" i="2"/>
  <c r="R21" i="2"/>
  <c r="AB21" i="2"/>
  <c r="AA21" i="2"/>
  <c r="Z21" i="2"/>
  <c r="Y21" i="2"/>
  <c r="X21" i="2"/>
  <c r="Q21" i="2"/>
  <c r="AC21" i="2"/>
  <c r="P22" i="2"/>
  <c r="AP22" i="3"/>
  <c r="AO22" i="3"/>
  <c r="AN22" i="3"/>
  <c r="O23" i="3"/>
  <c r="AQ22" i="3"/>
  <c r="AC22" i="3"/>
  <c r="AE20" i="3"/>
  <c r="S20" i="3"/>
  <c r="V20" i="3"/>
  <c r="AL20" i="3"/>
  <c r="P22" i="3" a="1"/>
  <c r="Q20" i="3"/>
  <c r="AH20" i="3"/>
  <c r="AU20" i="3"/>
  <c r="AM20" i="3"/>
  <c r="AR20" i="3"/>
  <c r="U20" i="3"/>
  <c r="X20" i="3"/>
  <c r="AJ20" i="3"/>
  <c r="AT20" i="3"/>
  <c r="W20" i="3"/>
  <c r="AS20" i="3"/>
  <c r="Y20" i="3"/>
  <c r="AA20" i="3"/>
  <c r="AG20" i="3"/>
  <c r="R21" i="3"/>
  <c r="Z20" i="3" l="1"/>
  <c r="P22" i="3"/>
  <c r="AI20" i="3"/>
  <c r="AC23" i="3"/>
  <c r="O24" i="3"/>
  <c r="AQ23" i="3"/>
  <c r="AP23" i="3"/>
  <c r="AO23" i="3"/>
  <c r="AN23" i="3"/>
  <c r="P23" i="2"/>
  <c r="AB22" i="2"/>
  <c r="S22" i="2" a="1"/>
  <c r="S22" i="2" s="1"/>
  <c r="AA22" i="2"/>
  <c r="R22" i="2"/>
  <c r="Z22" i="2"/>
  <c r="Q22" i="2"/>
  <c r="X22" i="2"/>
  <c r="AK22" i="2"/>
  <c r="V22" i="2" a="1"/>
  <c r="V22" i="2" s="1"/>
  <c r="AJ22" i="2"/>
  <c r="U22" i="2" a="1"/>
  <c r="U22" i="2" s="1"/>
  <c r="AI22" i="2"/>
  <c r="AG22" i="2"/>
  <c r="AF22" i="2"/>
  <c r="AE22" i="2"/>
  <c r="AD22" i="2"/>
  <c r="AC22" i="2"/>
  <c r="Y22" i="2"/>
  <c r="W22" i="2" a="1"/>
  <c r="W22" i="2" s="1"/>
  <c r="T22" i="2" a="1"/>
  <c r="T22" i="2" s="1"/>
  <c r="AH22" i="2"/>
  <c r="T20" i="3" a="1"/>
  <c r="AA21" i="3"/>
  <c r="AE21" i="3"/>
  <c r="R22" i="3"/>
  <c r="W21" i="3"/>
  <c r="AG21" i="3"/>
  <c r="Q21" i="3"/>
  <c r="AH21" i="3"/>
  <c r="X21" i="3"/>
  <c r="U21" i="3"/>
  <c r="AM21" i="3"/>
  <c r="V21" i="3"/>
  <c r="AR21" i="3"/>
  <c r="AL21" i="3"/>
  <c r="AJ21" i="3"/>
  <c r="Y21" i="3"/>
  <c r="S21" i="3"/>
  <c r="AT21" i="3"/>
  <c r="P23" i="3" a="1"/>
  <c r="AU21" i="3"/>
  <c r="AS21" i="3"/>
  <c r="T20" i="3" l="1"/>
  <c r="Z21" i="3"/>
  <c r="P23" i="3"/>
  <c r="AI21" i="3"/>
  <c r="AI23" i="2"/>
  <c r="AH23" i="2"/>
  <c r="V23" i="2" a="1"/>
  <c r="V23" i="2" s="1"/>
  <c r="AG23" i="2"/>
  <c r="AE23" i="2"/>
  <c r="AD23" i="2"/>
  <c r="X23" i="2"/>
  <c r="W23" i="2" a="1"/>
  <c r="W23" i="2" s="1"/>
  <c r="U23" i="2" a="1"/>
  <c r="U23" i="2" s="1"/>
  <c r="T23" i="2" a="1"/>
  <c r="T23" i="2" s="1"/>
  <c r="AK23" i="2"/>
  <c r="S23" i="2" a="1"/>
  <c r="S23" i="2" s="1"/>
  <c r="AF23" i="2"/>
  <c r="Q23" i="2"/>
  <c r="AC23" i="2"/>
  <c r="AA23" i="2"/>
  <c r="Z23" i="2"/>
  <c r="AB23" i="2"/>
  <c r="Y23" i="2"/>
  <c r="AJ23" i="2"/>
  <c r="R23" i="2"/>
  <c r="AQ24" i="3"/>
  <c r="AO24" i="3"/>
  <c r="O25" i="3"/>
  <c r="AC24" i="3"/>
  <c r="AP24" i="3"/>
  <c r="AN24" i="3"/>
  <c r="P24" i="2"/>
  <c r="V22" i="3"/>
  <c r="AH22" i="3"/>
  <c r="AE22" i="3"/>
  <c r="S22" i="3"/>
  <c r="X22" i="3"/>
  <c r="Q22" i="3"/>
  <c r="Y22" i="3"/>
  <c r="AA22" i="3"/>
  <c r="T22" i="3" s="1" a="1"/>
  <c r="AR22" i="3"/>
  <c r="R23" i="3"/>
  <c r="AM22" i="3"/>
  <c r="AU22" i="3"/>
  <c r="W22" i="3"/>
  <c r="AJ22" i="3"/>
  <c r="U22" i="3"/>
  <c r="AL22" i="3"/>
  <c r="T21" i="3" a="1"/>
  <c r="AS22" i="3"/>
  <c r="P24" i="3" a="1"/>
  <c r="AT22" i="3"/>
  <c r="AG22" i="3"/>
  <c r="T21" i="3" l="1"/>
  <c r="Z22" i="3"/>
  <c r="P24" i="3"/>
  <c r="AI22" i="3"/>
  <c r="T22" i="3"/>
  <c r="AB24" i="2"/>
  <c r="S24" i="2" a="1"/>
  <c r="S24" i="2" s="1"/>
  <c r="AA24" i="2"/>
  <c r="R24" i="2"/>
  <c r="Z24" i="2"/>
  <c r="Q24" i="2"/>
  <c r="X24" i="2"/>
  <c r="AK24" i="2"/>
  <c r="AD24" i="2"/>
  <c r="Y24" i="2"/>
  <c r="W24" i="2" a="1"/>
  <c r="W24" i="2" s="1"/>
  <c r="V24" i="2" a="1"/>
  <c r="V24" i="2" s="1"/>
  <c r="AJ24" i="2"/>
  <c r="AI24" i="2"/>
  <c r="T24" i="2" a="1"/>
  <c r="T24" i="2" s="1"/>
  <c r="AC24" i="2"/>
  <c r="U24" i="2" a="1"/>
  <c r="U24" i="2" s="1"/>
  <c r="AG24" i="2"/>
  <c r="AF24" i="2"/>
  <c r="AE24" i="2"/>
  <c r="AH24" i="2"/>
  <c r="O26" i="3"/>
  <c r="AC25" i="3"/>
  <c r="AQ25" i="3"/>
  <c r="AP25" i="3"/>
  <c r="AN25" i="3"/>
  <c r="AO25" i="3"/>
  <c r="P25" i="2"/>
  <c r="W23" i="3"/>
  <c r="AM23" i="3"/>
  <c r="U23" i="3"/>
  <c r="R24" i="3"/>
  <c r="Q23" i="3"/>
  <c r="AG23" i="3"/>
  <c r="AJ23" i="3"/>
  <c r="AL23" i="3"/>
  <c r="Y23" i="3"/>
  <c r="AU23" i="3"/>
  <c r="AA23" i="3"/>
  <c r="V23" i="3"/>
  <c r="AH23" i="3"/>
  <c r="AT23" i="3"/>
  <c r="S23" i="3"/>
  <c r="AS23" i="3"/>
  <c r="X23" i="3"/>
  <c r="P25" i="3" a="1"/>
  <c r="AE23" i="3"/>
  <c r="AR23" i="3"/>
  <c r="P25" i="3" l="1"/>
  <c r="Z23" i="3"/>
  <c r="AI23" i="3"/>
  <c r="AQ26" i="3"/>
  <c r="O27" i="3"/>
  <c r="AO26" i="3"/>
  <c r="AC26" i="3"/>
  <c r="AP26" i="3"/>
  <c r="AN26" i="3"/>
  <c r="P26" i="2"/>
  <c r="AI25" i="2"/>
  <c r="AH25" i="2"/>
  <c r="V25" i="2" a="1"/>
  <c r="V25" i="2" s="1"/>
  <c r="AG25" i="2"/>
  <c r="AE25" i="2"/>
  <c r="AD25" i="2"/>
  <c r="T25" i="2" a="1"/>
  <c r="T25" i="2" s="1"/>
  <c r="AC25" i="2"/>
  <c r="AA25" i="2"/>
  <c r="Y25" i="2"/>
  <c r="Z25" i="2"/>
  <c r="X25" i="2"/>
  <c r="U25" i="2" a="1"/>
  <c r="U25" i="2" s="1"/>
  <c r="Q25" i="2"/>
  <c r="S25" i="2" a="1"/>
  <c r="S25" i="2" s="1"/>
  <c r="AK25" i="2"/>
  <c r="AJ25" i="2"/>
  <c r="W25" i="2" a="1"/>
  <c r="W25" i="2" s="1"/>
  <c r="AF25" i="2"/>
  <c r="AB25" i="2"/>
  <c r="R25" i="2"/>
  <c r="U24" i="3"/>
  <c r="AM24" i="3"/>
  <c r="S24" i="3"/>
  <c r="P26" i="3" a="1"/>
  <c r="AR24" i="3"/>
  <c r="Q24" i="3"/>
  <c r="Y24" i="3"/>
  <c r="V24" i="3"/>
  <c r="AE24" i="3"/>
  <c r="AT24" i="3"/>
  <c r="W24" i="3"/>
  <c r="AH24" i="3"/>
  <c r="AU24" i="3"/>
  <c r="AA24" i="3"/>
  <c r="AL24" i="3"/>
  <c r="AG24" i="3"/>
  <c r="AJ24" i="3"/>
  <c r="AS24" i="3"/>
  <c r="X24" i="3"/>
  <c r="T23" i="3" a="1"/>
  <c r="R25" i="3"/>
  <c r="T24" i="3" a="1"/>
  <c r="T23" i="3" l="1"/>
  <c r="P26" i="3"/>
  <c r="AI24" i="3"/>
  <c r="Z24" i="3"/>
  <c r="T24" i="3"/>
  <c r="AC27" i="3"/>
  <c r="O28" i="3"/>
  <c r="AQ27" i="3"/>
  <c r="AO27" i="3"/>
  <c r="AP27" i="3"/>
  <c r="AN27" i="3"/>
  <c r="AA26" i="2"/>
  <c r="R26" i="2"/>
  <c r="Z26" i="2"/>
  <c r="Q26" i="2"/>
  <c r="Y26" i="2"/>
  <c r="AK26" i="2"/>
  <c r="AJ26" i="2"/>
  <c r="W26" i="2" a="1"/>
  <c r="W26" i="2" s="1"/>
  <c r="AH26" i="2"/>
  <c r="V26" i="2" a="1"/>
  <c r="V26" i="2" s="1"/>
  <c r="AG26" i="2"/>
  <c r="AE26" i="2"/>
  <c r="AF26" i="2"/>
  <c r="AD26" i="2"/>
  <c r="AC26" i="2"/>
  <c r="X26" i="2"/>
  <c r="AI26" i="2"/>
  <c r="AB26" i="2"/>
  <c r="S26" i="2" a="1"/>
  <c r="S26" i="2" s="1"/>
  <c r="U26" i="2" a="1"/>
  <c r="U26" i="2" s="1"/>
  <c r="T26" i="2" a="1"/>
  <c r="T26" i="2" s="1"/>
  <c r="P27" i="2"/>
  <c r="Q25" i="3"/>
  <c r="AA25" i="3"/>
  <c r="R26" i="3"/>
  <c r="S25" i="3"/>
  <c r="AJ25" i="3"/>
  <c r="X25" i="3"/>
  <c r="AL25" i="3"/>
  <c r="AM25" i="3"/>
  <c r="V25" i="3"/>
  <c r="AS25" i="3"/>
  <c r="W25" i="3"/>
  <c r="AG25" i="3"/>
  <c r="U25" i="3"/>
  <c r="AE25" i="3"/>
  <c r="AU25" i="3"/>
  <c r="AR25" i="3"/>
  <c r="AH25" i="3"/>
  <c r="Y25" i="3"/>
  <c r="P27" i="3" a="1"/>
  <c r="AT25" i="3"/>
  <c r="P27" i="3" l="1"/>
  <c r="Z25" i="3"/>
  <c r="AI25" i="3"/>
  <c r="AG27" i="2"/>
  <c r="AF27" i="2"/>
  <c r="U27" i="2" a="1"/>
  <c r="U27" i="2" s="1"/>
  <c r="AE27" i="2"/>
  <c r="AC27" i="2"/>
  <c r="AB27" i="2"/>
  <c r="S27" i="2" a="1"/>
  <c r="S27" i="2" s="1"/>
  <c r="Z27" i="2"/>
  <c r="Q27" i="2"/>
  <c r="W27" i="2" a="1"/>
  <c r="W27" i="2" s="1"/>
  <c r="V27" i="2" a="1"/>
  <c r="V27" i="2" s="1"/>
  <c r="R27" i="2"/>
  <c r="T27" i="2" a="1"/>
  <c r="T27" i="2" s="1"/>
  <c r="AK27" i="2"/>
  <c r="AJ27" i="2"/>
  <c r="AH27" i="2"/>
  <c r="AD27" i="2"/>
  <c r="AI27" i="2"/>
  <c r="AA27" i="2"/>
  <c r="X27" i="2"/>
  <c r="Y27" i="2"/>
  <c r="AP28" i="3"/>
  <c r="AN28" i="3"/>
  <c r="O29" i="3"/>
  <c r="AC28" i="3"/>
  <c r="AQ28" i="3"/>
  <c r="AO28" i="3"/>
  <c r="P28" i="2"/>
  <c r="T25" i="3" a="1"/>
  <c r="P28" i="3" a="1"/>
  <c r="AS26" i="3"/>
  <c r="AH26" i="3"/>
  <c r="AA26" i="3"/>
  <c r="T26" i="3" a="1"/>
  <c r="R27" i="3"/>
  <c r="Y26" i="3"/>
  <c r="AE26" i="3"/>
  <c r="AU26" i="3"/>
  <c r="Q26" i="3"/>
  <c r="AG26" i="3"/>
  <c r="AJ26" i="3"/>
  <c r="U26" i="3"/>
  <c r="AM26" i="3"/>
  <c r="X26" i="3"/>
  <c r="W26" i="3"/>
  <c r="V26" i="3"/>
  <c r="AR26" i="3"/>
  <c r="AT26" i="3"/>
  <c r="S26" i="3"/>
  <c r="AL26" i="3"/>
  <c r="T25" i="3" l="1"/>
  <c r="Z26" i="3"/>
  <c r="T26" i="3"/>
  <c r="P28" i="3"/>
  <c r="AI26" i="3"/>
  <c r="AN29" i="3"/>
  <c r="AC29" i="3"/>
  <c r="O30" i="3"/>
  <c r="AQ29" i="3"/>
  <c r="AP29" i="3"/>
  <c r="AO29" i="3"/>
  <c r="Y28" i="2"/>
  <c r="X28" i="2"/>
  <c r="AK28" i="2"/>
  <c r="AI28" i="2"/>
  <c r="AH28" i="2"/>
  <c r="V28" i="2" a="1"/>
  <c r="V28" i="2" s="1"/>
  <c r="AF28" i="2"/>
  <c r="U28" i="2" a="1"/>
  <c r="U28" i="2" s="1"/>
  <c r="AA28" i="2"/>
  <c r="W28" i="2" a="1"/>
  <c r="W28" i="2" s="1"/>
  <c r="T28" i="2" a="1"/>
  <c r="T28" i="2" s="1"/>
  <c r="AJ28" i="2"/>
  <c r="R28" i="2"/>
  <c r="AG28" i="2"/>
  <c r="Q28" i="2"/>
  <c r="AE28" i="2"/>
  <c r="AC28" i="2"/>
  <c r="AD28" i="2"/>
  <c r="AB28" i="2"/>
  <c r="Z28" i="2"/>
  <c r="S28" i="2" a="1"/>
  <c r="S28" i="2" s="1"/>
  <c r="P29" i="2"/>
  <c r="AG27" i="3"/>
  <c r="AU27" i="3"/>
  <c r="S27" i="3"/>
  <c r="U27" i="3"/>
  <c r="AJ27" i="3"/>
  <c r="AS27" i="3"/>
  <c r="P29" i="3" a="1"/>
  <c r="X27" i="3"/>
  <c r="V27" i="3"/>
  <c r="AE27" i="3"/>
  <c r="AH27" i="3"/>
  <c r="AM27" i="3"/>
  <c r="W27" i="3"/>
  <c r="Y27" i="3"/>
  <c r="AT27" i="3"/>
  <c r="AR27" i="3"/>
  <c r="Q27" i="3"/>
  <c r="AL27" i="3"/>
  <c r="AA27" i="3"/>
  <c r="R28" i="3"/>
  <c r="Z27" i="3" l="1"/>
  <c r="AI27" i="3"/>
  <c r="P29" i="3"/>
  <c r="Z29" i="2"/>
  <c r="Q29" i="2"/>
  <c r="Y29" i="2"/>
  <c r="X29" i="2"/>
  <c r="AJ29" i="2"/>
  <c r="W29" i="2" a="1"/>
  <c r="W29" i="2" s="1"/>
  <c r="AI29" i="2"/>
  <c r="AG29" i="2"/>
  <c r="U29" i="2" a="1"/>
  <c r="U29" i="2" s="1"/>
  <c r="T29" i="2" a="1"/>
  <c r="T29" i="2" s="1"/>
  <c r="AK29" i="2"/>
  <c r="S29" i="2" a="1"/>
  <c r="S29" i="2" s="1"/>
  <c r="AF29" i="2"/>
  <c r="AE29" i="2"/>
  <c r="AA29" i="2"/>
  <c r="V29" i="2" a="1"/>
  <c r="V29" i="2" s="1"/>
  <c r="R29" i="2"/>
  <c r="AC29" i="2"/>
  <c r="AB29" i="2"/>
  <c r="AH29" i="2"/>
  <c r="AD29" i="2"/>
  <c r="AQ30" i="3"/>
  <c r="AP30" i="3"/>
  <c r="AN30" i="3"/>
  <c r="O31" i="3"/>
  <c r="AO30" i="3"/>
  <c r="AC30" i="3"/>
  <c r="P30" i="2"/>
  <c r="T27" i="3" a="1"/>
  <c r="Q28" i="3"/>
  <c r="AG28" i="3"/>
  <c r="V28" i="3"/>
  <c r="AS28" i="3"/>
  <c r="W28" i="3"/>
  <c r="AU28" i="3"/>
  <c r="AJ28" i="3"/>
  <c r="AM28" i="3"/>
  <c r="AH28" i="3"/>
  <c r="AA28" i="3"/>
  <c r="P30" i="3" a="1"/>
  <c r="AE28" i="3"/>
  <c r="X28" i="3"/>
  <c r="S28" i="3"/>
  <c r="AR28" i="3"/>
  <c r="AL28" i="3"/>
  <c r="Y28" i="3"/>
  <c r="R29" i="3"/>
  <c r="U28" i="3"/>
  <c r="AT28" i="3"/>
  <c r="T27" i="3" l="1"/>
  <c r="Z28" i="3"/>
  <c r="P30" i="3"/>
  <c r="AI28" i="3"/>
  <c r="Z30" i="2"/>
  <c r="Q30" i="2"/>
  <c r="Y30" i="2"/>
  <c r="X30" i="2"/>
  <c r="AJ30" i="2"/>
  <c r="W30" i="2" a="1"/>
  <c r="W30" i="2" s="1"/>
  <c r="AI30" i="2"/>
  <c r="AG30" i="2"/>
  <c r="U30" i="2" a="1"/>
  <c r="U30" i="2" s="1"/>
  <c r="T30" i="2" a="1"/>
  <c r="T30" i="2" s="1"/>
  <c r="S30" i="2" a="1"/>
  <c r="S30" i="2" s="1"/>
  <c r="AK30" i="2"/>
  <c r="AH30" i="2"/>
  <c r="R30" i="2"/>
  <c r="AF30" i="2"/>
  <c r="AD30" i="2"/>
  <c r="AC30" i="2"/>
  <c r="AB30" i="2"/>
  <c r="AE30" i="2"/>
  <c r="AA30" i="2"/>
  <c r="V30" i="2" a="1"/>
  <c r="V30" i="2" s="1"/>
  <c r="O32" i="3"/>
  <c r="AQ31" i="3"/>
  <c r="AP31" i="3"/>
  <c r="AO31" i="3"/>
  <c r="AN31" i="3"/>
  <c r="AC31" i="3"/>
  <c r="P31" i="2"/>
  <c r="T28" i="3" a="1"/>
  <c r="AT29" i="3"/>
  <c r="V29" i="3"/>
  <c r="AA29" i="3"/>
  <c r="AJ29" i="3"/>
  <c r="AS29" i="3"/>
  <c r="AL29" i="3"/>
  <c r="AR29" i="3"/>
  <c r="P31" i="3" a="1"/>
  <c r="AM29" i="3"/>
  <c r="AU29" i="3"/>
  <c r="R30" i="3"/>
  <c r="S29" i="3"/>
  <c r="AH29" i="3"/>
  <c r="W29" i="3"/>
  <c r="U29" i="3"/>
  <c r="Q29" i="3"/>
  <c r="Y29" i="3"/>
  <c r="AE29" i="3"/>
  <c r="AG29" i="3"/>
  <c r="X29" i="3"/>
  <c r="T28" i="3" l="1"/>
  <c r="P31" i="3"/>
  <c r="Z29" i="3"/>
  <c r="AI29" i="3"/>
  <c r="AH31" i="2"/>
  <c r="AA31" i="2"/>
  <c r="R31" i="2"/>
  <c r="Z31" i="2"/>
  <c r="Q31" i="2"/>
  <c r="Y31" i="2"/>
  <c r="AK31" i="2"/>
  <c r="W31" i="2" a="1"/>
  <c r="W31" i="2" s="1"/>
  <c r="AI31" i="2"/>
  <c r="V31" i="2" a="1"/>
  <c r="V31" i="2" s="1"/>
  <c r="AG31" i="2"/>
  <c r="AJ31" i="2"/>
  <c r="S31" i="2" a="1"/>
  <c r="S31" i="2" s="1"/>
  <c r="AF31" i="2"/>
  <c r="AE31" i="2"/>
  <c r="AC31" i="2"/>
  <c r="AB31" i="2"/>
  <c r="U31" i="2" a="1"/>
  <c r="U31" i="2" s="1"/>
  <c r="X31" i="2"/>
  <c r="T31" i="2" a="1"/>
  <c r="T31" i="2" s="1"/>
  <c r="AD31" i="2"/>
  <c r="AC32" i="3"/>
  <c r="O33" i="3"/>
  <c r="AQ32" i="3"/>
  <c r="AO32" i="3"/>
  <c r="AN32" i="3"/>
  <c r="AP32" i="3"/>
  <c r="P32" i="2"/>
  <c r="T29" i="3" a="1"/>
  <c r="S30" i="3"/>
  <c r="AU30" i="3"/>
  <c r="Q30" i="3"/>
  <c r="AL30" i="3"/>
  <c r="AE30" i="3"/>
  <c r="AJ30" i="3"/>
  <c r="U30" i="3"/>
  <c r="P32" i="3" a="1"/>
  <c r="AA30" i="3"/>
  <c r="X30" i="3"/>
  <c r="AS30" i="3"/>
  <c r="AG30" i="3"/>
  <c r="AH30" i="3"/>
  <c r="AR30" i="3"/>
  <c r="W30" i="3"/>
  <c r="AM30" i="3"/>
  <c r="V30" i="3"/>
  <c r="R31" i="3"/>
  <c r="Y30" i="3"/>
  <c r="AT30" i="3"/>
  <c r="T29" i="3" l="1"/>
  <c r="P32" i="3"/>
  <c r="AI30" i="3"/>
  <c r="Z30" i="3"/>
  <c r="AI32" i="2"/>
  <c r="AD32" i="2"/>
  <c r="AC32" i="2"/>
  <c r="S32" i="2" a="1"/>
  <c r="S32" i="2" s="1"/>
  <c r="AB32" i="2"/>
  <c r="R32" i="2"/>
  <c r="Z32" i="2"/>
  <c r="Y32" i="2"/>
  <c r="AK32" i="2"/>
  <c r="Q32" i="2"/>
  <c r="AJ32" i="2"/>
  <c r="AH32" i="2"/>
  <c r="AG32" i="2"/>
  <c r="AF32" i="2"/>
  <c r="AA32" i="2"/>
  <c r="X32" i="2"/>
  <c r="W32" i="2" a="1"/>
  <c r="W32" i="2" s="1"/>
  <c r="AE32" i="2"/>
  <c r="T32" i="2" a="1"/>
  <c r="T32" i="2" s="1"/>
  <c r="V32" i="2" a="1"/>
  <c r="V32" i="2" s="1"/>
  <c r="U32" i="2" a="1"/>
  <c r="U32" i="2" s="1"/>
  <c r="AP33" i="3"/>
  <c r="O34" i="3"/>
  <c r="AO33" i="3"/>
  <c r="AN33" i="3"/>
  <c r="AC33" i="3"/>
  <c r="AQ33" i="3"/>
  <c r="P33" i="2"/>
  <c r="T30" i="3" a="1"/>
  <c r="AR31" i="3"/>
  <c r="AE31" i="3"/>
  <c r="V31" i="3"/>
  <c r="X31" i="3"/>
  <c r="AM31" i="3"/>
  <c r="Q31" i="3"/>
  <c r="AT31" i="3"/>
  <c r="Y31" i="3"/>
  <c r="W31" i="3"/>
  <c r="S31" i="3"/>
  <c r="AU31" i="3"/>
  <c r="AG31" i="3"/>
  <c r="P33" i="3" a="1"/>
  <c r="AS31" i="3"/>
  <c r="R32" i="3"/>
  <c r="U31" i="3"/>
  <c r="AA31" i="3"/>
  <c r="AJ31" i="3"/>
  <c r="AL31" i="3"/>
  <c r="AH31" i="3"/>
  <c r="T30" i="3" l="1"/>
  <c r="P33" i="3"/>
  <c r="AI31" i="3"/>
  <c r="Z31" i="3"/>
  <c r="AM34" i="3"/>
  <c r="U34" i="3"/>
  <c r="AH34" i="3"/>
  <c r="Q34" i="3"/>
  <c r="O35" i="3"/>
  <c r="AE34" i="3"/>
  <c r="P34" i="3" a="1"/>
  <c r="P34" i="3" s="1"/>
  <c r="AU34" i="3"/>
  <c r="AC34" i="3"/>
  <c r="Y34" i="3"/>
  <c r="AT34" i="3"/>
  <c r="X34" i="3"/>
  <c r="AR34" i="3"/>
  <c r="V34" i="3"/>
  <c r="AQ34" i="3"/>
  <c r="AP34" i="3"/>
  <c r="T34" i="3" a="1"/>
  <c r="T34" i="3" s="1"/>
  <c r="AO34" i="3"/>
  <c r="S34" i="3"/>
  <c r="AN34" i="3"/>
  <c r="R34" i="3"/>
  <c r="AS34" i="3"/>
  <c r="AL34" i="3"/>
  <c r="AJ34" i="3"/>
  <c r="AG34" i="3"/>
  <c r="AA34" i="3"/>
  <c r="Z34" i="3"/>
  <c r="AI34" i="3"/>
  <c r="W34" i="3"/>
  <c r="P36" i="2"/>
  <c r="P34" i="2"/>
  <c r="AG33" i="2"/>
  <c r="AD33" i="2"/>
  <c r="AC33" i="2"/>
  <c r="S33" i="2" a="1"/>
  <c r="S33" i="2" s="1"/>
  <c r="AB33" i="2"/>
  <c r="R33" i="2"/>
  <c r="Z33" i="2"/>
  <c r="Y33" i="2"/>
  <c r="AK33" i="2"/>
  <c r="Q33" i="2"/>
  <c r="AI33" i="2"/>
  <c r="AF33" i="2"/>
  <c r="AH33" i="2"/>
  <c r="AE33" i="2"/>
  <c r="AA33" i="2"/>
  <c r="W33" i="2" a="1"/>
  <c r="W33" i="2" s="1"/>
  <c r="X33" i="2"/>
  <c r="V33" i="2" a="1"/>
  <c r="V33" i="2" s="1"/>
  <c r="U33" i="2" a="1"/>
  <c r="U33" i="2" s="1"/>
  <c r="T33" i="2" a="1"/>
  <c r="T33" i="2" s="1"/>
  <c r="AJ33" i="2"/>
  <c r="T31" i="3" a="1"/>
  <c r="AL32" i="3"/>
  <c r="AH32" i="3"/>
  <c r="Y32" i="3"/>
  <c r="AG32" i="3"/>
  <c r="AS32" i="3"/>
  <c r="AJ32" i="3"/>
  <c r="AU32" i="3"/>
  <c r="AT32" i="3"/>
  <c r="U32" i="3"/>
  <c r="Q32" i="3"/>
  <c r="S32" i="3"/>
  <c r="V32" i="3"/>
  <c r="R33" i="3"/>
  <c r="W32" i="3"/>
  <c r="AM32" i="3"/>
  <c r="AA32" i="3"/>
  <c r="T32" i="3" a="1"/>
  <c r="AE32" i="3"/>
  <c r="AR32" i="3"/>
  <c r="X32" i="3"/>
  <c r="T31" i="3" l="1"/>
  <c r="Z32" i="3"/>
  <c r="AI32" i="3"/>
  <c r="T32" i="3"/>
  <c r="AG36" i="2"/>
  <c r="AK36" i="2"/>
  <c r="W36" i="2" a="1"/>
  <c r="W36" i="2" s="1"/>
  <c r="AJ36" i="2"/>
  <c r="AI36" i="2"/>
  <c r="V36" i="2" a="1"/>
  <c r="V36" i="2" s="1"/>
  <c r="AF36" i="2"/>
  <c r="AE36" i="2"/>
  <c r="T36" i="2" a="1"/>
  <c r="T36" i="2" s="1"/>
  <c r="AC36" i="2"/>
  <c r="S36" i="2" a="1"/>
  <c r="S36" i="2" s="1"/>
  <c r="AH36" i="2"/>
  <c r="AB36" i="2"/>
  <c r="AA36" i="2"/>
  <c r="Z36" i="2"/>
  <c r="Y36" i="2"/>
  <c r="X36" i="2"/>
  <c r="U36" i="2" a="1"/>
  <c r="U36" i="2" s="1"/>
  <c r="Q36" i="2"/>
  <c r="R36" i="2"/>
  <c r="AD36" i="2"/>
  <c r="AG34" i="2"/>
  <c r="AF34" i="2"/>
  <c r="AE34" i="2"/>
  <c r="T34" i="2" a="1"/>
  <c r="T34" i="2" s="1"/>
  <c r="AD34" i="2"/>
  <c r="AB34" i="2"/>
  <c r="R34" i="2"/>
  <c r="AA34" i="2"/>
  <c r="Q34" i="2"/>
  <c r="Y34" i="2"/>
  <c r="AK34" i="2"/>
  <c r="AI34" i="2"/>
  <c r="AH34" i="2"/>
  <c r="AC34" i="2"/>
  <c r="Z34" i="2"/>
  <c r="X34" i="2"/>
  <c r="W34" i="2" a="1"/>
  <c r="W34" i="2" s="1"/>
  <c r="S34" i="2" a="1"/>
  <c r="S34" i="2" s="1"/>
  <c r="AJ34" i="2"/>
  <c r="V34" i="2" a="1"/>
  <c r="V34" i="2" s="1"/>
  <c r="U34" i="2" a="1"/>
  <c r="U34" i="2" s="1"/>
  <c r="P35" i="2"/>
  <c r="AI35" i="3"/>
  <c r="S35" i="3"/>
  <c r="AG35" i="3"/>
  <c r="AU35" i="3"/>
  <c r="AC35" i="3"/>
  <c r="AT35" i="3"/>
  <c r="AA35" i="3"/>
  <c r="AL35" i="3"/>
  <c r="P35" i="3" a="1"/>
  <c r="P35" i="3" s="1"/>
  <c r="AJ35" i="3"/>
  <c r="AE35" i="3"/>
  <c r="Z35" i="3"/>
  <c r="Y35" i="3"/>
  <c r="O36" i="3"/>
  <c r="X35" i="3"/>
  <c r="AS35" i="3"/>
  <c r="W35" i="3"/>
  <c r="U35" i="3"/>
  <c r="T35" i="3" a="1"/>
  <c r="T35" i="3" s="1"/>
  <c r="R35" i="3"/>
  <c r="AR35" i="3"/>
  <c r="AQ35" i="3"/>
  <c r="AO35" i="3"/>
  <c r="AH35" i="3"/>
  <c r="V35" i="3"/>
  <c r="Q35" i="3"/>
  <c r="AM35" i="3"/>
  <c r="P37" i="2"/>
  <c r="AP35" i="3"/>
  <c r="AN35" i="3"/>
  <c r="R59" i="3" a="1"/>
  <c r="AR33" i="3"/>
  <c r="AM33" i="3"/>
  <c r="AJ33" i="3"/>
  <c r="AT33" i="3"/>
  <c r="S33" i="3"/>
  <c r="V33" i="3"/>
  <c r="AH33" i="3"/>
  <c r="Y33" i="3"/>
  <c r="U33" i="3"/>
  <c r="AU33" i="3"/>
  <c r="AG33" i="3"/>
  <c r="X33" i="3"/>
  <c r="AE33" i="3"/>
  <c r="AA33" i="3"/>
  <c r="T33" i="3" s="1" a="1"/>
  <c r="Q33" i="3"/>
  <c r="W33" i="3"/>
  <c r="AL33" i="3"/>
  <c r="AS33" i="3"/>
  <c r="R59" i="3" l="1"/>
  <c r="T33" i="3"/>
  <c r="Z33" i="3"/>
  <c r="AI33" i="3"/>
  <c r="AU36" i="3"/>
  <c r="AE36" i="3"/>
  <c r="O37" i="3"/>
  <c r="AG36" i="3"/>
  <c r="P36" i="3" a="1"/>
  <c r="P36" i="3" s="1"/>
  <c r="AT36" i="3"/>
  <c r="AA36" i="3"/>
  <c r="AS36" i="3"/>
  <c r="Z36" i="3"/>
  <c r="AQ36" i="3"/>
  <c r="U36" i="3"/>
  <c r="AP36" i="3"/>
  <c r="AN36" i="3"/>
  <c r="S36" i="3"/>
  <c r="AM36" i="3"/>
  <c r="R36" i="3"/>
  <c r="AL36" i="3"/>
  <c r="Q36" i="3"/>
  <c r="AJ36" i="3"/>
  <c r="AI36" i="3"/>
  <c r="AC36" i="3"/>
  <c r="Y36" i="3"/>
  <c r="X36" i="3"/>
  <c r="W36" i="3"/>
  <c r="T36" i="3" a="1"/>
  <c r="T36" i="3" s="1"/>
  <c r="P38" i="2"/>
  <c r="AR36" i="3"/>
  <c r="AH36" i="3"/>
  <c r="V36" i="3"/>
  <c r="AO36" i="3"/>
  <c r="AI37" i="2"/>
  <c r="AG37" i="2"/>
  <c r="X37" i="2"/>
  <c r="W37" i="2" a="1"/>
  <c r="W37" i="2" s="1"/>
  <c r="AJ37" i="2"/>
  <c r="V37" i="2" a="1"/>
  <c r="V37" i="2" s="1"/>
  <c r="AH37" i="2"/>
  <c r="U37" i="2" a="1"/>
  <c r="U37" i="2" s="1"/>
  <c r="AE37" i="2"/>
  <c r="T37" i="2" a="1"/>
  <c r="T37" i="2" s="1"/>
  <c r="AD37" i="2"/>
  <c r="AB37" i="2"/>
  <c r="Z37" i="2"/>
  <c r="AA37" i="2"/>
  <c r="Y37" i="2"/>
  <c r="S37" i="2" a="1"/>
  <c r="S37" i="2" s="1"/>
  <c r="AK37" i="2"/>
  <c r="AF37" i="2"/>
  <c r="AC37" i="2"/>
  <c r="R37" i="2"/>
  <c r="Q37" i="2"/>
  <c r="AG35" i="2"/>
  <c r="AI35" i="2"/>
  <c r="V35" i="2" a="1"/>
  <c r="V35" i="2" s="1"/>
  <c r="AH35" i="2"/>
  <c r="U35" i="2" a="1"/>
  <c r="U35" i="2" s="1"/>
  <c r="AF35" i="2"/>
  <c r="AD35" i="2"/>
  <c r="AC35" i="2"/>
  <c r="S35" i="2" a="1"/>
  <c r="S35" i="2" s="1"/>
  <c r="AA35" i="2"/>
  <c r="Q35" i="2"/>
  <c r="AK35" i="2"/>
  <c r="AE35" i="2"/>
  <c r="Z35" i="2"/>
  <c r="AB35" i="2"/>
  <c r="Y35" i="2"/>
  <c r="X35" i="2"/>
  <c r="W35" i="2" a="1"/>
  <c r="W35" i="2" s="1"/>
  <c r="AJ35" i="2"/>
  <c r="T35" i="2" a="1"/>
  <c r="T35" i="2" s="1"/>
  <c r="R35" i="2"/>
  <c r="AQ37" i="3" l="1"/>
  <c r="Y37" i="3"/>
  <c r="AU37" i="3"/>
  <c r="AC37" i="3"/>
  <c r="AS37" i="3"/>
  <c r="Z37" i="3"/>
  <c r="AR37" i="3"/>
  <c r="X37" i="3"/>
  <c r="AE37" i="3"/>
  <c r="AA37" i="3"/>
  <c r="O38" i="3"/>
  <c r="V37" i="3"/>
  <c r="AT37" i="3"/>
  <c r="U37" i="3"/>
  <c r="AP37" i="3"/>
  <c r="AO37" i="3"/>
  <c r="T37" i="3" a="1"/>
  <c r="T37" i="3" s="1"/>
  <c r="AN37" i="3"/>
  <c r="S37" i="3"/>
  <c r="AL37" i="3"/>
  <c r="AJ37" i="3"/>
  <c r="AI37" i="3"/>
  <c r="AH37" i="3"/>
  <c r="W37" i="3"/>
  <c r="R37" i="3"/>
  <c r="Q37" i="3"/>
  <c r="P37" i="3" a="1"/>
  <c r="P37" i="3" s="1"/>
  <c r="P39" i="2"/>
  <c r="AM37" i="3"/>
  <c r="AG37" i="3"/>
  <c r="AI38" i="2"/>
  <c r="AG38" i="2"/>
  <c r="AB38" i="2"/>
  <c r="Q38" i="2"/>
  <c r="AA38" i="2"/>
  <c r="Z38" i="2"/>
  <c r="X38" i="2"/>
  <c r="AK38" i="2"/>
  <c r="V38" i="2" a="1"/>
  <c r="V38" i="2" s="1"/>
  <c r="AF38" i="2"/>
  <c r="AD38" i="2"/>
  <c r="AC38" i="2"/>
  <c r="Y38" i="2"/>
  <c r="W38" i="2" a="1"/>
  <c r="W38" i="2" s="1"/>
  <c r="U38" i="2" a="1"/>
  <c r="U38" i="2" s="1"/>
  <c r="T38" i="2" a="1"/>
  <c r="T38" i="2" s="1"/>
  <c r="R38" i="2"/>
  <c r="AE38" i="2"/>
  <c r="AH38" i="2"/>
  <c r="S38" i="2" a="1"/>
  <c r="S38" i="2" s="1"/>
  <c r="AJ38" i="2"/>
  <c r="AI39" i="2" l="1"/>
  <c r="AH39" i="2"/>
  <c r="AG39" i="2"/>
  <c r="AF39" i="2"/>
  <c r="T39" i="2" a="1"/>
  <c r="T39" i="2" s="1"/>
  <c r="AE39" i="2"/>
  <c r="AD39" i="2"/>
  <c r="S39" i="2" a="1"/>
  <c r="S39" i="2" s="1"/>
  <c r="AB39" i="2"/>
  <c r="Q39" i="2"/>
  <c r="AA39" i="2"/>
  <c r="Y39" i="2"/>
  <c r="AK39" i="2"/>
  <c r="AC39" i="2"/>
  <c r="X39" i="2"/>
  <c r="Z39" i="2"/>
  <c r="W39" i="2" a="1"/>
  <c r="W39" i="2" s="1"/>
  <c r="U39" i="2" a="1"/>
  <c r="U39" i="2" s="1"/>
  <c r="AJ39" i="2"/>
  <c r="R39" i="2"/>
  <c r="V39" i="2" a="1"/>
  <c r="V39" i="2" s="1"/>
  <c r="AN38" i="3"/>
  <c r="V38" i="3"/>
  <c r="AT38" i="3"/>
  <c r="AA38" i="3"/>
  <c r="AR38" i="3"/>
  <c r="Y38" i="3"/>
  <c r="AQ38" i="3"/>
  <c r="X38" i="3"/>
  <c r="AL38" i="3"/>
  <c r="Q38" i="3"/>
  <c r="AJ38" i="3"/>
  <c r="AH38" i="3"/>
  <c r="AG38" i="3"/>
  <c r="AE38" i="3"/>
  <c r="AC38" i="3"/>
  <c r="Z38" i="3"/>
  <c r="AU38" i="3"/>
  <c r="AS38" i="3"/>
  <c r="AP38" i="3"/>
  <c r="AO38" i="3"/>
  <c r="AI38" i="3"/>
  <c r="W38" i="3"/>
  <c r="U38" i="3"/>
  <c r="O39" i="3"/>
  <c r="AM38" i="3"/>
  <c r="T38" i="3" a="1"/>
  <c r="T38" i="3" s="1"/>
  <c r="S38" i="3"/>
  <c r="R38" i="3"/>
  <c r="P38" i="3" a="1"/>
  <c r="P38" i="3" s="1"/>
  <c r="P40" i="2"/>
  <c r="AI40" i="2" l="1"/>
  <c r="AH40" i="2"/>
  <c r="V40" i="2" a="1"/>
  <c r="V40" i="2" s="1"/>
  <c r="AG40" i="2"/>
  <c r="X40" i="2"/>
  <c r="W40" i="2" a="1"/>
  <c r="W40" i="2" s="1"/>
  <c r="AK40" i="2"/>
  <c r="AJ40" i="2"/>
  <c r="T40" i="2" a="1"/>
  <c r="T40" i="2" s="1"/>
  <c r="AE40" i="2"/>
  <c r="S40" i="2" a="1"/>
  <c r="S40" i="2" s="1"/>
  <c r="AD40" i="2"/>
  <c r="AC40" i="2"/>
  <c r="AB40" i="2"/>
  <c r="AA40" i="2"/>
  <c r="Z40" i="2"/>
  <c r="U40" i="2" a="1"/>
  <c r="U40" i="2" s="1"/>
  <c r="Y40" i="2"/>
  <c r="R40" i="2"/>
  <c r="Q40" i="2"/>
  <c r="AF40" i="2"/>
  <c r="AJ39" i="3"/>
  <c r="T39" i="3" a="1"/>
  <c r="T39" i="3" s="1"/>
  <c r="AS39" i="3"/>
  <c r="Z39" i="3"/>
  <c r="AQ39" i="3"/>
  <c r="X39" i="3"/>
  <c r="AP39" i="3"/>
  <c r="W39" i="3"/>
  <c r="AU39" i="3"/>
  <c r="V39" i="3"/>
  <c r="AT39" i="3"/>
  <c r="U39" i="3"/>
  <c r="AO39" i="3"/>
  <c r="S39" i="3"/>
  <c r="AN39" i="3"/>
  <c r="R39" i="3"/>
  <c r="AM39" i="3"/>
  <c r="Q39" i="3"/>
  <c r="AL39" i="3"/>
  <c r="AI39" i="3"/>
  <c r="P39" i="3" a="1"/>
  <c r="P39" i="3" s="1"/>
  <c r="AR39" i="3"/>
  <c r="AH39" i="3"/>
  <c r="AG39" i="3"/>
  <c r="AC39" i="3"/>
  <c r="AA39" i="3"/>
  <c r="Y39" i="3"/>
  <c r="P41" i="2"/>
  <c r="AE39" i="3"/>
  <c r="O40" i="3"/>
  <c r="O41" i="3" l="1"/>
  <c r="AG40" i="3"/>
  <c r="Q40" i="3"/>
  <c r="AR40" i="3"/>
  <c r="Y40" i="3"/>
  <c r="AP40" i="3"/>
  <c r="W40" i="3"/>
  <c r="AO40" i="3"/>
  <c r="V40" i="3"/>
  <c r="AH40" i="3"/>
  <c r="AE40" i="3"/>
  <c r="AA40" i="3"/>
  <c r="Z40" i="3"/>
  <c r="AU40" i="3"/>
  <c r="X40" i="3"/>
  <c r="AT40" i="3"/>
  <c r="U40" i="3"/>
  <c r="AS40" i="3"/>
  <c r="S40" i="3"/>
  <c r="R40" i="3"/>
  <c r="P40" i="3" a="1"/>
  <c r="P40" i="3" s="1"/>
  <c r="AQ40" i="3"/>
  <c r="AN40" i="3"/>
  <c r="AL40" i="3"/>
  <c r="P42" i="2"/>
  <c r="AM40" i="3"/>
  <c r="AJ40" i="3"/>
  <c r="AI40" i="3"/>
  <c r="AC40" i="3"/>
  <c r="T40" i="3" a="1"/>
  <c r="T40" i="3" s="1"/>
  <c r="AI41" i="2"/>
  <c r="AH41" i="2"/>
  <c r="V41" i="2" a="1"/>
  <c r="V41" i="2" s="1"/>
  <c r="AG41" i="2"/>
  <c r="AD41" i="2"/>
  <c r="R41" i="2"/>
  <c r="AC41" i="2"/>
  <c r="Q41" i="2"/>
  <c r="AB41" i="2"/>
  <c r="Z41" i="2"/>
  <c r="Y41" i="2"/>
  <c r="AK41" i="2"/>
  <c r="AF41" i="2"/>
  <c r="AJ41" i="2"/>
  <c r="AE41" i="2"/>
  <c r="AA41" i="2"/>
  <c r="W41" i="2" a="1"/>
  <c r="W41" i="2" s="1"/>
  <c r="U41" i="2" a="1"/>
  <c r="U41" i="2" s="1"/>
  <c r="S41" i="2" a="1"/>
  <c r="S41" i="2" s="1"/>
  <c r="X41" i="2"/>
  <c r="T41" i="2" a="1"/>
  <c r="T41" i="2" s="1"/>
  <c r="AI42" i="2" l="1"/>
  <c r="AH42" i="2"/>
  <c r="V42" i="2" a="1"/>
  <c r="V42" i="2" s="1"/>
  <c r="AG42" i="2"/>
  <c r="W42" i="2" a="1"/>
  <c r="W42" i="2" s="1"/>
  <c r="U42" i="2" a="1"/>
  <c r="U42" i="2" s="1"/>
  <c r="AK42" i="2"/>
  <c r="AF42" i="2"/>
  <c r="AE42" i="2"/>
  <c r="S42" i="2" a="1"/>
  <c r="S42" i="2" s="1"/>
  <c r="AC42" i="2"/>
  <c r="Q42" i="2"/>
  <c r="AJ42" i="2"/>
  <c r="AD42" i="2"/>
  <c r="AB42" i="2"/>
  <c r="Z42" i="2"/>
  <c r="Y42" i="2"/>
  <c r="AA42" i="2"/>
  <c r="X42" i="2"/>
  <c r="T42" i="2" a="1"/>
  <c r="T42" i="2" s="1"/>
  <c r="R42" i="2"/>
  <c r="AS41" i="3"/>
  <c r="AA41" i="3"/>
  <c r="AQ41" i="3"/>
  <c r="X41" i="3"/>
  <c r="AO41" i="3"/>
  <c r="V41" i="3"/>
  <c r="AN41" i="3"/>
  <c r="U41" i="3"/>
  <c r="AP41" i="3"/>
  <c r="S41" i="3"/>
  <c r="AM41" i="3"/>
  <c r="R41" i="3"/>
  <c r="AJ41" i="3"/>
  <c r="AI41" i="3"/>
  <c r="P41" i="3" a="1"/>
  <c r="P41" i="3" s="1"/>
  <c r="AH41" i="3"/>
  <c r="AG41" i="3"/>
  <c r="AE41" i="3"/>
  <c r="Z41" i="3"/>
  <c r="Y41" i="3"/>
  <c r="W41" i="3"/>
  <c r="Q41" i="3"/>
  <c r="AU41" i="3"/>
  <c r="AT41" i="3"/>
  <c r="P43" i="2"/>
  <c r="AR41" i="3"/>
  <c r="AC41" i="3"/>
  <c r="T41" i="3" a="1"/>
  <c r="T41" i="3" s="1"/>
  <c r="O42" i="3"/>
  <c r="AL41" i="3"/>
  <c r="AJ43" i="2" l="1"/>
  <c r="W43" i="2" a="1"/>
  <c r="W43" i="2" s="1"/>
  <c r="AI43" i="2"/>
  <c r="AH43" i="2"/>
  <c r="V43" i="2" a="1"/>
  <c r="V43" i="2" s="1"/>
  <c r="AC43" i="2"/>
  <c r="Q43" i="2"/>
  <c r="AB43" i="2"/>
  <c r="AA43" i="2"/>
  <c r="Y43" i="2"/>
  <c r="X43" i="2"/>
  <c r="T43" i="2" a="1"/>
  <c r="T43" i="2" s="1"/>
  <c r="S43" i="2" a="1"/>
  <c r="S43" i="2" s="1"/>
  <c r="R43" i="2"/>
  <c r="AK43" i="2"/>
  <c r="AG43" i="2"/>
  <c r="AE43" i="2"/>
  <c r="AD43" i="2"/>
  <c r="U43" i="2" a="1"/>
  <c r="U43" i="2" s="1"/>
  <c r="Z43" i="2"/>
  <c r="AF43" i="2"/>
  <c r="AP42" i="3"/>
  <c r="X42" i="3"/>
  <c r="AQ42" i="3"/>
  <c r="W42" i="3"/>
  <c r="AN42" i="3"/>
  <c r="U42" i="3"/>
  <c r="AM42" i="3"/>
  <c r="O43" i="3"/>
  <c r="AA42" i="3"/>
  <c r="Z42" i="3"/>
  <c r="AT42" i="3"/>
  <c r="V42" i="3"/>
  <c r="AS42" i="3"/>
  <c r="T42" i="3" a="1"/>
  <c r="T42" i="3" s="1"/>
  <c r="AR42" i="3"/>
  <c r="S42" i="3"/>
  <c r="AO42" i="3"/>
  <c r="R42" i="3"/>
  <c r="AL42" i="3"/>
  <c r="Q42" i="3"/>
  <c r="AI42" i="3"/>
  <c r="AJ42" i="3"/>
  <c r="AH42" i="3"/>
  <c r="AG42" i="3"/>
  <c r="AE42" i="3"/>
  <c r="Y42" i="3"/>
  <c r="P42" i="3" a="1"/>
  <c r="P42" i="3" s="1"/>
  <c r="P44" i="2"/>
  <c r="AU42" i="3"/>
  <c r="AC42" i="3"/>
  <c r="AK44" i="2" l="1"/>
  <c r="AJ44" i="2"/>
  <c r="W44" i="2" a="1"/>
  <c r="W44" i="2" s="1"/>
  <c r="AI44" i="2"/>
  <c r="U44" i="2" a="1"/>
  <c r="U44" i="2" s="1"/>
  <c r="AH44" i="2"/>
  <c r="AF44" i="2"/>
  <c r="AE44" i="2"/>
  <c r="S44" i="2" a="1"/>
  <c r="S44" i="2" s="1"/>
  <c r="AC44" i="2"/>
  <c r="Q44" i="2"/>
  <c r="X44" i="2"/>
  <c r="T44" i="2" a="1"/>
  <c r="T44" i="2" s="1"/>
  <c r="R44" i="2"/>
  <c r="AG44" i="2"/>
  <c r="AD44" i="2"/>
  <c r="AB44" i="2"/>
  <c r="Z44" i="2"/>
  <c r="AA44" i="2"/>
  <c r="Y44" i="2"/>
  <c r="V44" i="2" a="1"/>
  <c r="V44" i="2" s="1"/>
  <c r="AL43" i="3"/>
  <c r="AO43" i="3"/>
  <c r="V43" i="3"/>
  <c r="AM43" i="3"/>
  <c r="T43" i="3" a="1"/>
  <c r="T43" i="3" s="1"/>
  <c r="AJ43" i="3"/>
  <c r="S43" i="3"/>
  <c r="AH43" i="3"/>
  <c r="AG43" i="3"/>
  <c r="AC43" i="3"/>
  <c r="O44" i="3"/>
  <c r="AA43" i="3"/>
  <c r="Z43" i="3"/>
  <c r="AU43" i="3"/>
  <c r="Y43" i="3"/>
  <c r="AT43" i="3"/>
  <c r="X43" i="3"/>
  <c r="AR43" i="3"/>
  <c r="U43" i="3"/>
  <c r="AS43" i="3"/>
  <c r="AQ43" i="3"/>
  <c r="AP43" i="3"/>
  <c r="AI43" i="3"/>
  <c r="AE43" i="3"/>
  <c r="W43" i="3"/>
  <c r="P45" i="2"/>
  <c r="AN43" i="3"/>
  <c r="Q43" i="3"/>
  <c r="R43" i="3"/>
  <c r="P43" i="3" a="1"/>
  <c r="P43" i="3" s="1"/>
  <c r="O45" i="3" l="1"/>
  <c r="AG44" i="3"/>
  <c r="Q44" i="3"/>
  <c r="AM44" i="3"/>
  <c r="AJ44" i="3"/>
  <c r="S44" i="3"/>
  <c r="AI44" i="3"/>
  <c r="R44" i="3"/>
  <c r="AQ44" i="3"/>
  <c r="U44" i="3"/>
  <c r="AP44" i="3"/>
  <c r="T44" i="3" a="1"/>
  <c r="T44" i="3" s="1"/>
  <c r="AN44" i="3"/>
  <c r="P44" i="3" a="1"/>
  <c r="P44" i="3" s="1"/>
  <c r="AL44" i="3"/>
  <c r="AH44" i="3"/>
  <c r="AE44" i="3"/>
  <c r="AC44" i="3"/>
  <c r="Z44" i="3"/>
  <c r="P46" i="2"/>
  <c r="AU44" i="3"/>
  <c r="AS44" i="3"/>
  <c r="AR44" i="3"/>
  <c r="AO44" i="3"/>
  <c r="X44" i="3"/>
  <c r="W44" i="3"/>
  <c r="V44" i="3"/>
  <c r="AA44" i="3"/>
  <c r="AT44" i="3"/>
  <c r="Y44" i="3"/>
  <c r="X45" i="2"/>
  <c r="AK45" i="2"/>
  <c r="AJ45" i="2"/>
  <c r="W45" i="2" a="1"/>
  <c r="W45" i="2" s="1"/>
  <c r="AC45" i="2"/>
  <c r="Q45" i="2"/>
  <c r="AB45" i="2"/>
  <c r="AA45" i="2"/>
  <c r="Y45" i="2"/>
  <c r="Z45" i="2"/>
  <c r="U45" i="2" a="1"/>
  <c r="U45" i="2" s="1"/>
  <c r="T45" i="2" a="1"/>
  <c r="T45" i="2" s="1"/>
  <c r="S45" i="2" a="1"/>
  <c r="S45" i="2" s="1"/>
  <c r="AI45" i="2"/>
  <c r="AH45" i="2"/>
  <c r="AF45" i="2"/>
  <c r="AE45" i="2"/>
  <c r="AD45" i="2"/>
  <c r="R45" i="2"/>
  <c r="AG45" i="2"/>
  <c r="V45" i="2" a="1"/>
  <c r="V45" i="2" s="1"/>
  <c r="Y46" i="2" l="1"/>
  <c r="X46" i="2"/>
  <c r="AK46" i="2"/>
  <c r="AJ46" i="2"/>
  <c r="AI46" i="2"/>
  <c r="U46" i="2" a="1"/>
  <c r="U46" i="2" s="1"/>
  <c r="AH46" i="2"/>
  <c r="AF46" i="2"/>
  <c r="AE46" i="2"/>
  <c r="S46" i="2" a="1"/>
  <c r="S46" i="2" s="1"/>
  <c r="AC46" i="2"/>
  <c r="Q46" i="2"/>
  <c r="AB46" i="2"/>
  <c r="Z46" i="2"/>
  <c r="W46" i="2" a="1"/>
  <c r="W46" i="2" s="1"/>
  <c r="V46" i="2" a="1"/>
  <c r="V46" i="2" s="1"/>
  <c r="T46" i="2" a="1"/>
  <c r="T46" i="2" s="1"/>
  <c r="R46" i="2"/>
  <c r="AA46" i="2"/>
  <c r="AG46" i="2"/>
  <c r="AD46" i="2"/>
  <c r="AS45" i="3"/>
  <c r="AA45" i="3"/>
  <c r="AL45" i="3"/>
  <c r="T45" i="3" a="1"/>
  <c r="T45" i="3" s="1"/>
  <c r="AI45" i="3"/>
  <c r="R45" i="3"/>
  <c r="AH45" i="3"/>
  <c r="Q45" i="3"/>
  <c r="O46" i="3"/>
  <c r="Z45" i="3"/>
  <c r="Y45" i="3"/>
  <c r="AT45" i="3"/>
  <c r="W45" i="3"/>
  <c r="AR45" i="3"/>
  <c r="V45" i="3"/>
  <c r="AQ45" i="3"/>
  <c r="U45" i="3"/>
  <c r="AP45" i="3"/>
  <c r="AO45" i="3"/>
  <c r="S45" i="3"/>
  <c r="AM45" i="3"/>
  <c r="P45" i="3" a="1"/>
  <c r="P45" i="3" s="1"/>
  <c r="AC45" i="3"/>
  <c r="X45" i="3"/>
  <c r="P47" i="2"/>
  <c r="AN45" i="3"/>
  <c r="AU45" i="3"/>
  <c r="AJ45" i="3"/>
  <c r="AE45" i="3"/>
  <c r="AG45" i="3"/>
  <c r="Z47" i="2" l="1"/>
  <c r="Q47" i="2"/>
  <c r="Y47" i="2"/>
  <c r="X47" i="2"/>
  <c r="AC47" i="2"/>
  <c r="AB47" i="2"/>
  <c r="AA47" i="2"/>
  <c r="W47" i="2" a="1"/>
  <c r="W47" i="2" s="1"/>
  <c r="AJ47" i="2"/>
  <c r="AG47" i="2"/>
  <c r="AE47" i="2"/>
  <c r="AD47" i="2"/>
  <c r="V47" i="2" a="1"/>
  <c r="V47" i="2" s="1"/>
  <c r="U47" i="2" a="1"/>
  <c r="U47" i="2" s="1"/>
  <c r="T47" i="2" a="1"/>
  <c r="T47" i="2" s="1"/>
  <c r="AK47" i="2"/>
  <c r="AF47" i="2"/>
  <c r="AI47" i="2"/>
  <c r="AH47" i="2"/>
  <c r="S47" i="2" a="1"/>
  <c r="S47" i="2" s="1"/>
  <c r="R47" i="2"/>
  <c r="AO46" i="3"/>
  <c r="W46" i="3"/>
  <c r="AI46" i="3"/>
  <c r="R46" i="3"/>
  <c r="AG46" i="3"/>
  <c r="O47" i="3"/>
  <c r="AE46" i="3"/>
  <c r="P46" i="3" a="1"/>
  <c r="P46" i="3" s="1"/>
  <c r="AL46" i="3"/>
  <c r="AJ46" i="3"/>
  <c r="AC46" i="3"/>
  <c r="AA46" i="3"/>
  <c r="Z46" i="3"/>
  <c r="AU46" i="3"/>
  <c r="Y46" i="3"/>
  <c r="AT46" i="3"/>
  <c r="X46" i="3"/>
  <c r="AR46" i="3"/>
  <c r="U46" i="3"/>
  <c r="AN46" i="3"/>
  <c r="AM46" i="3"/>
  <c r="AH46" i="3"/>
  <c r="P48" i="2"/>
  <c r="V46" i="3"/>
  <c r="T46" i="3" a="1"/>
  <c r="T46" i="3" s="1"/>
  <c r="S46" i="3"/>
  <c r="Q46" i="3"/>
  <c r="AS46" i="3"/>
  <c r="AQ46" i="3"/>
  <c r="AP46" i="3"/>
  <c r="AL47" i="3" l="1"/>
  <c r="O48" i="3"/>
  <c r="AM47" i="3"/>
  <c r="AH47" i="3"/>
  <c r="Q47" i="3"/>
  <c r="AE47" i="3"/>
  <c r="P47" i="3" a="1"/>
  <c r="P47" i="3" s="1"/>
  <c r="AC47" i="3"/>
  <c r="AT47" i="3"/>
  <c r="Z47" i="3"/>
  <c r="AU47" i="3"/>
  <c r="V47" i="3"/>
  <c r="AS47" i="3"/>
  <c r="U47" i="3"/>
  <c r="AQ47" i="3"/>
  <c r="S47" i="3"/>
  <c r="AP47" i="3"/>
  <c r="R47" i="3"/>
  <c r="AO47" i="3"/>
  <c r="AN47" i="3"/>
  <c r="AJ47" i="3"/>
  <c r="AG47" i="3"/>
  <c r="AI47" i="3"/>
  <c r="AA47" i="3"/>
  <c r="Y47" i="3"/>
  <c r="T47" i="3" a="1"/>
  <c r="T47" i="3" s="1"/>
  <c r="P49" i="2"/>
  <c r="AR47" i="3"/>
  <c r="X47" i="3"/>
  <c r="W47" i="3"/>
  <c r="AA48" i="2"/>
  <c r="R48" i="2"/>
  <c r="Z48" i="2"/>
  <c r="Q48" i="2"/>
  <c r="Y48" i="2"/>
  <c r="AJ48" i="2"/>
  <c r="W48" i="2" a="1"/>
  <c r="W48" i="2" s="1"/>
  <c r="AK48" i="2"/>
  <c r="U48" i="2" a="1"/>
  <c r="U48" i="2" s="1"/>
  <c r="AI48" i="2"/>
  <c r="AG48" i="2"/>
  <c r="AF48" i="2"/>
  <c r="S48" i="2" a="1"/>
  <c r="S48" i="2" s="1"/>
  <c r="AD48" i="2"/>
  <c r="AH48" i="2"/>
  <c r="AE48" i="2"/>
  <c r="AC48" i="2"/>
  <c r="AB48" i="2"/>
  <c r="X48" i="2"/>
  <c r="V48" i="2" a="1"/>
  <c r="V48" i="2" s="1"/>
  <c r="T48" i="2" a="1"/>
  <c r="T48" i="2" s="1"/>
  <c r="AB49" i="2" l="1"/>
  <c r="S49" i="2" a="1"/>
  <c r="S49" i="2" s="1"/>
  <c r="AA49" i="2"/>
  <c r="R49" i="2"/>
  <c r="Z49" i="2"/>
  <c r="Q49" i="2"/>
  <c r="AK49" i="2"/>
  <c r="AF49" i="2"/>
  <c r="AE49" i="2"/>
  <c r="AD49" i="2"/>
  <c r="Y49" i="2"/>
  <c r="X49" i="2"/>
  <c r="T49" i="2" a="1"/>
  <c r="T49" i="2" s="1"/>
  <c r="AJ49" i="2"/>
  <c r="AI49" i="2"/>
  <c r="AH49" i="2"/>
  <c r="AC49" i="2"/>
  <c r="W49" i="2" a="1"/>
  <c r="W49" i="2" s="1"/>
  <c r="U49" i="2" a="1"/>
  <c r="U49" i="2" s="1"/>
  <c r="AG49" i="2"/>
  <c r="V49" i="2" a="1"/>
  <c r="V49" i="2" s="1"/>
  <c r="O49" i="3"/>
  <c r="AH48" i="3"/>
  <c r="R48" i="3"/>
  <c r="AS48" i="3"/>
  <c r="AA48" i="3"/>
  <c r="AN48" i="3"/>
  <c r="AM48" i="3"/>
  <c r="S48" i="3"/>
  <c r="AJ48" i="3"/>
  <c r="AI48" i="3"/>
  <c r="P48" i="3" a="1"/>
  <c r="P48" i="3" s="1"/>
  <c r="AE48" i="3"/>
  <c r="AQ48" i="3"/>
  <c r="AP48" i="3"/>
  <c r="AL48" i="3"/>
  <c r="AG48" i="3"/>
  <c r="AC48" i="3"/>
  <c r="Z48" i="3"/>
  <c r="Y48" i="3"/>
  <c r="W48" i="3"/>
  <c r="V48" i="3"/>
  <c r="U48" i="3"/>
  <c r="T48" i="3" a="1"/>
  <c r="T48" i="3" s="1"/>
  <c r="Q48" i="3"/>
  <c r="AT48" i="3"/>
  <c r="P50" i="2"/>
  <c r="AU48" i="3"/>
  <c r="X48" i="3"/>
  <c r="AO48" i="3"/>
  <c r="AR48" i="3"/>
  <c r="AS49" i="3" l="1"/>
  <c r="AA49" i="3"/>
  <c r="AO49" i="3"/>
  <c r="W49" i="3"/>
  <c r="AN49" i="3"/>
  <c r="AQ49" i="3"/>
  <c r="U49" i="3"/>
  <c r="AM49" i="3"/>
  <c r="S49" i="3"/>
  <c r="AL49" i="3"/>
  <c r="R49" i="3"/>
  <c r="AI49" i="3"/>
  <c r="AG49" i="3"/>
  <c r="AE49" i="3"/>
  <c r="Z49" i="3"/>
  <c r="Y49" i="3"/>
  <c r="X49" i="3"/>
  <c r="O50" i="3"/>
  <c r="V49" i="3"/>
  <c r="T49" i="3" a="1"/>
  <c r="T49" i="3" s="1"/>
  <c r="AT49" i="3"/>
  <c r="P49" i="3" a="1"/>
  <c r="P49" i="3" s="1"/>
  <c r="AU49" i="3"/>
  <c r="AR49" i="3"/>
  <c r="AP49" i="3"/>
  <c r="AH49" i="3"/>
  <c r="P51" i="2"/>
  <c r="AC49" i="3"/>
  <c r="Q49" i="3"/>
  <c r="AJ49" i="3"/>
  <c r="AC50" i="2"/>
  <c r="AB50" i="2"/>
  <c r="S50" i="2" a="1"/>
  <c r="S50" i="2" s="1"/>
  <c r="AA50" i="2"/>
  <c r="R50" i="2"/>
  <c r="X50" i="2"/>
  <c r="W50" i="2" a="1"/>
  <c r="W50" i="2" s="1"/>
  <c r="AK50" i="2"/>
  <c r="AJ50" i="2"/>
  <c r="U50" i="2" a="1"/>
  <c r="U50" i="2" s="1"/>
  <c r="AH50" i="2"/>
  <c r="T50" i="2" a="1"/>
  <c r="T50" i="2" s="1"/>
  <c r="V50" i="2" a="1"/>
  <c r="V50" i="2" s="1"/>
  <c r="Q50" i="2"/>
  <c r="AG50" i="2"/>
  <c r="AF50" i="2"/>
  <c r="AI50" i="2"/>
  <c r="AD50" i="2"/>
  <c r="Z50" i="2"/>
  <c r="AE50" i="2"/>
  <c r="Y50" i="2"/>
  <c r="AD51" i="2" l="1"/>
  <c r="T51" i="2" a="1"/>
  <c r="T51" i="2" s="1"/>
  <c r="AC51" i="2"/>
  <c r="AB51" i="2"/>
  <c r="S51" i="2" a="1"/>
  <c r="S51" i="2" s="1"/>
  <c r="Y51" i="2"/>
  <c r="AJ51" i="2"/>
  <c r="U51" i="2" a="1"/>
  <c r="U51" i="2" s="1"/>
  <c r="AI51" i="2"/>
  <c r="AH51" i="2"/>
  <c r="R51" i="2"/>
  <c r="AF51" i="2"/>
  <c r="AE51" i="2"/>
  <c r="Z51" i="2"/>
  <c r="X51" i="2"/>
  <c r="W51" i="2" a="1"/>
  <c r="W51" i="2" s="1"/>
  <c r="V51" i="2" a="1"/>
  <c r="V51" i="2" s="1"/>
  <c r="Q51" i="2"/>
  <c r="AA51" i="2"/>
  <c r="AK51" i="2"/>
  <c r="AG51" i="2"/>
  <c r="AO50" i="3"/>
  <c r="W50" i="3"/>
  <c r="AJ50" i="3"/>
  <c r="T50" i="3" a="1"/>
  <c r="T50" i="3" s="1"/>
  <c r="AP50" i="3"/>
  <c r="U50" i="3"/>
  <c r="AT50" i="3"/>
  <c r="Y50" i="3"/>
  <c r="AR50" i="3"/>
  <c r="V50" i="3"/>
  <c r="AQ50" i="3"/>
  <c r="AM50" i="3"/>
  <c r="R50" i="3"/>
  <c r="Z50" i="3"/>
  <c r="X50" i="3"/>
  <c r="Q50" i="3"/>
  <c r="AU50" i="3"/>
  <c r="AS50" i="3"/>
  <c r="P50" i="3" a="1"/>
  <c r="P50" i="3" s="1"/>
  <c r="AN50" i="3"/>
  <c r="AL50" i="3"/>
  <c r="AH50" i="3"/>
  <c r="S50" i="3"/>
  <c r="O51" i="3"/>
  <c r="AG50" i="3"/>
  <c r="AE50" i="3"/>
  <c r="AC50" i="3"/>
  <c r="AI50" i="3"/>
  <c r="AA50" i="3"/>
  <c r="P52" i="2"/>
  <c r="AE52" i="2" l="1"/>
  <c r="AD52" i="2"/>
  <c r="T52" i="2" a="1"/>
  <c r="T52" i="2" s="1"/>
  <c r="AC52" i="2"/>
  <c r="Z52" i="2"/>
  <c r="Q52" i="2"/>
  <c r="AB52" i="2"/>
  <c r="AA52" i="2"/>
  <c r="Y52" i="2"/>
  <c r="W52" i="2" a="1"/>
  <c r="W52" i="2" s="1"/>
  <c r="V52" i="2" a="1"/>
  <c r="V52" i="2" s="1"/>
  <c r="AI52" i="2"/>
  <c r="AH52" i="2"/>
  <c r="AG52" i="2"/>
  <c r="X52" i="2"/>
  <c r="AF52" i="2"/>
  <c r="S52" i="2" a="1"/>
  <c r="S52" i="2" s="1"/>
  <c r="R52" i="2"/>
  <c r="AK52" i="2"/>
  <c r="AJ52" i="2"/>
  <c r="U52" i="2" a="1"/>
  <c r="U52" i="2" s="1"/>
  <c r="AJ51" i="3"/>
  <c r="T51" i="3" a="1"/>
  <c r="T51" i="3" s="1"/>
  <c r="AU51" i="3"/>
  <c r="AE51" i="3"/>
  <c r="AP51" i="3"/>
  <c r="V51" i="3"/>
  <c r="AA51" i="3"/>
  <c r="AT51" i="3"/>
  <c r="Y51" i="3"/>
  <c r="AS51" i="3"/>
  <c r="X51" i="3"/>
  <c r="AQ51" i="3"/>
  <c r="U51" i="3"/>
  <c r="AR51" i="3"/>
  <c r="Q51" i="3"/>
  <c r="AO51" i="3"/>
  <c r="P51" i="3" a="1"/>
  <c r="P51" i="3" s="1"/>
  <c r="AM51" i="3"/>
  <c r="AL51" i="3"/>
  <c r="AI51" i="3"/>
  <c r="AH51" i="3"/>
  <c r="AG51" i="3"/>
  <c r="Z51" i="3"/>
  <c r="O52" i="3"/>
  <c r="AN51" i="3"/>
  <c r="AC51" i="3"/>
  <c r="S51" i="3"/>
  <c r="R51" i="3"/>
  <c r="P53" i="2"/>
  <c r="W51" i="3"/>
  <c r="AF53" i="2" l="1"/>
  <c r="U53" i="2" a="1"/>
  <c r="U53" i="2" s="1"/>
  <c r="AE53" i="2"/>
  <c r="AD53" i="2"/>
  <c r="T53" i="2" a="1"/>
  <c r="T53" i="2" s="1"/>
  <c r="AA53" i="2"/>
  <c r="R53" i="2"/>
  <c r="W53" i="2" a="1"/>
  <c r="W53" i="2" s="1"/>
  <c r="V53" i="2" a="1"/>
  <c r="V53" i="2" s="1"/>
  <c r="AJ53" i="2"/>
  <c r="AI53" i="2"/>
  <c r="S53" i="2" a="1"/>
  <c r="S53" i="2" s="1"/>
  <c r="AG53" i="2"/>
  <c r="AK53" i="2"/>
  <c r="AH53" i="2"/>
  <c r="AC53" i="2"/>
  <c r="AB53" i="2"/>
  <c r="Z53" i="2"/>
  <c r="X53" i="2"/>
  <c r="Y53" i="2"/>
  <c r="Q53" i="2"/>
  <c r="AG52" i="3"/>
  <c r="Q52" i="3"/>
  <c r="AR52" i="3"/>
  <c r="Z52" i="3"/>
  <c r="AQ52" i="3"/>
  <c r="W52" i="3"/>
  <c r="AI52" i="3"/>
  <c r="P52" i="3" a="1"/>
  <c r="P52" i="3" s="1"/>
  <c r="AE52" i="3"/>
  <c r="O53" i="3"/>
  <c r="AC52" i="3"/>
  <c r="AU52" i="3"/>
  <c r="Y52" i="3"/>
  <c r="AM52" i="3"/>
  <c r="AL52" i="3"/>
  <c r="AH52" i="3"/>
  <c r="AA52" i="3"/>
  <c r="X52" i="3"/>
  <c r="V52" i="3"/>
  <c r="U52" i="3"/>
  <c r="AT52" i="3"/>
  <c r="T52" i="3" a="1"/>
  <c r="T52" i="3" s="1"/>
  <c r="AS52" i="3"/>
  <c r="AP52" i="3"/>
  <c r="AO52" i="3"/>
  <c r="P54" i="2"/>
  <c r="AN52" i="3"/>
  <c r="AJ52" i="3"/>
  <c r="S52" i="3"/>
  <c r="R52" i="3"/>
  <c r="AG54" i="2" l="1"/>
  <c r="AF54" i="2"/>
  <c r="U54" i="2" a="1"/>
  <c r="U54" i="2" s="1"/>
  <c r="AE54" i="2"/>
  <c r="AB54" i="2"/>
  <c r="S54" i="2" a="1"/>
  <c r="S54" i="2" s="1"/>
  <c r="AI54" i="2"/>
  <c r="R54" i="2"/>
  <c r="AH54" i="2"/>
  <c r="Q54" i="2"/>
  <c r="AD54" i="2"/>
  <c r="AA54" i="2"/>
  <c r="Z54" i="2"/>
  <c r="X54" i="2"/>
  <c r="T54" i="2" a="1"/>
  <c r="T54" i="2" s="1"/>
  <c r="AK54" i="2"/>
  <c r="AC54" i="2"/>
  <c r="Y54" i="2"/>
  <c r="AJ54" i="2"/>
  <c r="W54" i="2" a="1"/>
  <c r="W54" i="2" s="1"/>
  <c r="V54" i="2" a="1"/>
  <c r="V54" i="2" s="1"/>
  <c r="AQ53" i="3"/>
  <c r="Y53" i="3"/>
  <c r="AM53" i="3"/>
  <c r="U53" i="3"/>
  <c r="AR53" i="3"/>
  <c r="W53" i="3"/>
  <c r="AJ53" i="3"/>
  <c r="Q53" i="3"/>
  <c r="AH53" i="3"/>
  <c r="P53" i="3" a="1"/>
  <c r="P53" i="3" s="1"/>
  <c r="AG53" i="3"/>
  <c r="O54" i="3"/>
  <c r="AC53" i="3"/>
  <c r="Z53" i="3"/>
  <c r="X53" i="3"/>
  <c r="AU53" i="3"/>
  <c r="T53" i="3" a="1"/>
  <c r="T53" i="3" s="1"/>
  <c r="AT53" i="3"/>
  <c r="S53" i="3"/>
  <c r="AS53" i="3"/>
  <c r="R53" i="3"/>
  <c r="AP53" i="3"/>
  <c r="AN53" i="3"/>
  <c r="AL53" i="3"/>
  <c r="AI53" i="3"/>
  <c r="AE53" i="3"/>
  <c r="AA53" i="3"/>
  <c r="AO53" i="3"/>
  <c r="V53" i="3"/>
  <c r="P55" i="2"/>
  <c r="AH55" i="2" l="1"/>
  <c r="V55" i="2" a="1"/>
  <c r="V55" i="2" s="1"/>
  <c r="AG55" i="2"/>
  <c r="AF55" i="2"/>
  <c r="U55" i="2" a="1"/>
  <c r="U55" i="2" s="1"/>
  <c r="AC55" i="2"/>
  <c r="Z55" i="2"/>
  <c r="Y55" i="2"/>
  <c r="X55" i="2"/>
  <c r="W55" i="2" a="1"/>
  <c r="W55" i="2" s="1"/>
  <c r="AK55" i="2"/>
  <c r="T55" i="2" a="1"/>
  <c r="T55" i="2" s="1"/>
  <c r="S55" i="2" a="1"/>
  <c r="S55" i="2" s="1"/>
  <c r="R55" i="2"/>
  <c r="Q55" i="2"/>
  <c r="AJ55" i="2"/>
  <c r="AI55" i="2"/>
  <c r="AB55" i="2"/>
  <c r="AA55" i="2"/>
  <c r="AD55" i="2"/>
  <c r="AE55" i="2"/>
  <c r="AM54" i="3"/>
  <c r="U54" i="3"/>
  <c r="AH54" i="3"/>
  <c r="R54" i="3"/>
  <c r="AR54" i="3"/>
  <c r="X54" i="3"/>
  <c r="AO54" i="3"/>
  <c r="T54" i="3" a="1"/>
  <c r="T54" i="3" s="1"/>
  <c r="AL54" i="3"/>
  <c r="Q54" i="3"/>
  <c r="AJ54" i="3"/>
  <c r="AG54" i="3"/>
  <c r="AU54" i="3"/>
  <c r="AT54" i="3"/>
  <c r="S54" i="3"/>
  <c r="AQ54" i="3"/>
  <c r="AP54" i="3"/>
  <c r="AN54" i="3"/>
  <c r="AI54" i="3"/>
  <c r="AE54" i="3"/>
  <c r="AA54" i="3"/>
  <c r="O55" i="3"/>
  <c r="AS54" i="3"/>
  <c r="AC54" i="3"/>
  <c r="Z54" i="3"/>
  <c r="Y54" i="3"/>
  <c r="W54" i="3"/>
  <c r="P54" i="3" a="1"/>
  <c r="P54" i="3" s="1"/>
  <c r="V54" i="3"/>
  <c r="P56" i="2"/>
  <c r="AI55" i="3" l="1"/>
  <c r="S55" i="3"/>
  <c r="AT55" i="3"/>
  <c r="AC55" i="3"/>
  <c r="P55" i="3" a="1"/>
  <c r="P55" i="3" s="1"/>
  <c r="AS55" i="3"/>
  <c r="Y55" i="3"/>
  <c r="AR55" i="3"/>
  <c r="W55" i="3"/>
  <c r="AP55" i="3"/>
  <c r="U55" i="3"/>
  <c r="AO55" i="3"/>
  <c r="AM55" i="3"/>
  <c r="R55" i="3"/>
  <c r="AN55" i="3"/>
  <c r="AL55" i="3"/>
  <c r="AH55" i="3"/>
  <c r="AG55" i="3"/>
  <c r="AE55" i="3"/>
  <c r="AA55" i="3"/>
  <c r="Z55" i="3"/>
  <c r="V55" i="3"/>
  <c r="AJ55" i="3"/>
  <c r="X55" i="3"/>
  <c r="T55" i="3" a="1"/>
  <c r="T55" i="3" s="1"/>
  <c r="Q55" i="3"/>
  <c r="P57" i="2"/>
  <c r="O56" i="3"/>
  <c r="AU55" i="3"/>
  <c r="AQ55" i="3"/>
  <c r="AI56" i="2"/>
  <c r="AH56" i="2"/>
  <c r="V56" i="2" a="1"/>
  <c r="V56" i="2" s="1"/>
  <c r="AG56" i="2"/>
  <c r="AD56" i="2"/>
  <c r="T56" i="2" a="1"/>
  <c r="T56" i="2" s="1"/>
  <c r="U56" i="2" a="1"/>
  <c r="U56" i="2" s="1"/>
  <c r="AK56" i="2"/>
  <c r="AF56" i="2"/>
  <c r="R56" i="2"/>
  <c r="AE56" i="2"/>
  <c r="Q56" i="2"/>
  <c r="AB56" i="2"/>
  <c r="AA56" i="2"/>
  <c r="Z56" i="2"/>
  <c r="Y56" i="2"/>
  <c r="X56" i="2"/>
  <c r="W56" i="2" a="1"/>
  <c r="W56" i="2" s="1"/>
  <c r="S56" i="2" a="1"/>
  <c r="S56" i="2" s="1"/>
  <c r="AJ56" i="2"/>
  <c r="AC56" i="2"/>
  <c r="AJ57" i="2" l="1"/>
  <c r="W57" i="2" a="1"/>
  <c r="W57" i="2" s="1"/>
  <c r="AI57" i="2"/>
  <c r="AH57" i="2"/>
  <c r="V57" i="2" a="1"/>
  <c r="V57" i="2" s="1"/>
  <c r="AE57" i="2"/>
  <c r="AD57" i="2"/>
  <c r="Q57" i="2"/>
  <c r="AC57" i="2"/>
  <c r="AB57" i="2"/>
  <c r="Z57" i="2"/>
  <c r="Y57" i="2"/>
  <c r="AK57" i="2"/>
  <c r="AG57" i="2"/>
  <c r="AA57" i="2"/>
  <c r="AF57" i="2"/>
  <c r="X57" i="2"/>
  <c r="T57" i="2" a="1"/>
  <c r="T57" i="2" s="1"/>
  <c r="U57" i="2" a="1"/>
  <c r="U57" i="2" s="1"/>
  <c r="S57" i="2" a="1"/>
  <c r="S57" i="2" s="1"/>
  <c r="R57" i="2"/>
  <c r="AT56" i="3"/>
  <c r="AT59" i="3" s="1"/>
  <c r="AC56" i="3"/>
  <c r="P56" i="3" a="1"/>
  <c r="P56" i="3" s="1"/>
  <c r="AP56" i="3"/>
  <c r="X56" i="3"/>
  <c r="AU56" i="3"/>
  <c r="AU59" i="3" s="1"/>
  <c r="Z56" i="3"/>
  <c r="Z59" i="3" s="1"/>
  <c r="AA56" i="3"/>
  <c r="AS56" i="3"/>
  <c r="AS59" i="3" s="1"/>
  <c r="W56" i="3"/>
  <c r="AR56" i="3"/>
  <c r="AR59" i="3" s="1"/>
  <c r="V56" i="3"/>
  <c r="AO56" i="3"/>
  <c r="AH56" i="3"/>
  <c r="AH59" i="3" s="1"/>
  <c r="AG56" i="3"/>
  <c r="AG59" i="3" s="1"/>
  <c r="Y56" i="3"/>
  <c r="U56" i="3"/>
  <c r="T56" i="3" a="1"/>
  <c r="T56" i="3" s="1"/>
  <c r="S56" i="3"/>
  <c r="R56" i="3"/>
  <c r="R60" i="3" s="1"/>
  <c r="AN56" i="3"/>
  <c r="AQ56" i="3"/>
  <c r="AL56" i="3"/>
  <c r="AJ56" i="3"/>
  <c r="AI56" i="3"/>
  <c r="AI59" i="3" s="1"/>
  <c r="AE56" i="3"/>
  <c r="P58" i="2"/>
  <c r="AM56" i="3"/>
  <c r="Q56" i="3"/>
  <c r="AK58" i="2" l="1"/>
  <c r="AJ58" i="2"/>
  <c r="W58" i="2" a="1"/>
  <c r="W58" i="2" s="1"/>
  <c r="AI58" i="2"/>
  <c r="AF58" i="2"/>
  <c r="U58" i="2" a="1"/>
  <c r="U58" i="2" s="1"/>
  <c r="Y58" i="2"/>
  <c r="X58" i="2"/>
  <c r="V58" i="2" a="1"/>
  <c r="V58" i="2" s="1"/>
  <c r="T58" i="2" a="1"/>
  <c r="T58" i="2" s="1"/>
  <c r="AG58" i="2"/>
  <c r="S58" i="2" a="1"/>
  <c r="S58" i="2" s="1"/>
  <c r="AH58" i="2"/>
  <c r="AE58" i="2"/>
  <c r="AD58" i="2"/>
  <c r="AC58" i="2"/>
  <c r="AA58" i="2"/>
  <c r="Z58" i="2"/>
  <c r="AB58" i="2"/>
  <c r="R58" i="2"/>
  <c r="Q58" i="2"/>
  <c r="AJ76" i="3"/>
  <c r="Y59" i="3"/>
  <c r="X59" i="3"/>
  <c r="U59" i="3"/>
  <c r="W59" i="3"/>
  <c r="AJ59" i="3"/>
  <c r="V5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Takhtaganov, Renat</author>
  </authors>
  <commentList>
    <comment ref="C92" authorId="0" shapeId="0" xr:uid="{ADF8813E-F5A4-4226-957A-0B1319E23222}">
      <text>
        <r>
          <rPr>
            <sz val="10"/>
            <color indexed="81"/>
            <rFont val="Times New Roman"/>
            <family val="1"/>
          </rPr>
          <t>Income Credit Period = 100 means  until AV = 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<sst xmlns="http://schemas.openxmlformats.org/spreadsheetml/2006/main" count="1495" uniqueCount="483">
  <si>
    <t>Profile &amp; Income Details</t>
  </si>
  <si>
    <t>Interest Crediting Strategies</t>
  </si>
  <si>
    <t>Fixed Rate</t>
  </si>
  <si>
    <t>Cap</t>
  </si>
  <si>
    <t>ParRate</t>
  </si>
  <si>
    <t>Triggered Rate</t>
  </si>
  <si>
    <t>Spread</t>
  </si>
  <si>
    <t>EPRS Fee</t>
  </si>
  <si>
    <t>Allocation</t>
  </si>
  <si>
    <t>Cap Rate</t>
  </si>
  <si>
    <t>Participation Rate</t>
  </si>
  <si>
    <t>Trigger Rate</t>
  </si>
  <si>
    <t>EPRS Fee %</t>
  </si>
  <si>
    <t>Year</t>
  </si>
  <si>
    <t>Age</t>
  </si>
  <si>
    <t>Tenor Selectors</t>
  </si>
  <si>
    <t>Hypothetical Values</t>
  </si>
  <si>
    <t>Legacy</t>
  </si>
  <si>
    <t>Owner</t>
  </si>
  <si>
    <t>1-Year</t>
  </si>
  <si>
    <t>Election</t>
  </si>
  <si>
    <t>Credited Interest Rate</t>
  </si>
  <si>
    <t>Withdrawal Amount</t>
  </si>
  <si>
    <t>Cumulative Withdrawals</t>
  </si>
  <si>
    <t>Fees</t>
  </si>
  <si>
    <t>Contract Anniversary Value</t>
  </si>
  <si>
    <t>Cash Surrender Value</t>
  </si>
  <si>
    <t>Hypothetical Death Benefit</t>
  </si>
  <si>
    <t>Issue Age Original Annuitant</t>
  </si>
  <si>
    <t>Issue Age Second Annuitant if Joint</t>
  </si>
  <si>
    <t>Solicitation State</t>
  </si>
  <si>
    <t>Contract Type</t>
  </si>
  <si>
    <t>Product</t>
  </si>
  <si>
    <t>Initial Premium</t>
  </si>
  <si>
    <t>Death Benefit</t>
  </si>
  <si>
    <t>Living Benefit</t>
  </si>
  <si>
    <t>Withdrawal Type</t>
  </si>
  <si>
    <t>Income Start Age</t>
  </si>
  <si>
    <t>Totals</t>
  </si>
  <si>
    <t>&lt;= Expand for Strategy Rate Override</t>
  </si>
  <si>
    <t>&lt;= Expand for Ehnanced Income</t>
  </si>
  <si>
    <t>&lt;= Expand for Additional Detail</t>
  </si>
  <si>
    <t>Results Output →</t>
  </si>
  <si>
    <t>PFW Amount</t>
  </si>
  <si>
    <t>Supplemental EOP Values</t>
  </si>
  <si>
    <t>Illustrated Date</t>
  </si>
  <si>
    <t>Attained Age</t>
  </si>
  <si>
    <t>Contract Credited Rate</t>
  </si>
  <si>
    <t>Interest Earned</t>
  </si>
  <si>
    <t>Income Base</t>
  </si>
  <si>
    <t>Enhanced Income
(XS of MAWA)</t>
  </si>
  <si>
    <t>ROP Amount</t>
  </si>
  <si>
    <t>Overlay Base</t>
  </si>
  <si>
    <t>Overlay Value</t>
  </si>
  <si>
    <t>Total Contract Value</t>
  </si>
  <si>
    <t>GMWB Fee</t>
  </si>
  <si>
    <t>Advisory Fee</t>
  </si>
  <si>
    <t>Strategy Fee</t>
  </si>
  <si>
    <t>Product Fee</t>
  </si>
  <si>
    <t>Variables Input ↓</t>
  </si>
  <si>
    <t>GSPC</t>
  </si>
  <si>
    <t>Minimum Withdrawal Value</t>
  </si>
  <si>
    <t>Fees
Total</t>
  </si>
  <si>
    <t>Enhanced Income Benefit Status
Prior to CY Utilization</t>
  </si>
  <si>
    <t>Claim Enhanced Income?
(Yes / No)
Manual Entry</t>
  </si>
  <si>
    <t>Enhanced Income Amount
XS of MAWA</t>
  </si>
  <si>
    <t>PFW Amount Avaliable
Prior to Withdrawal</t>
  </si>
  <si>
    <t>Overlay Credit</t>
  </si>
  <si>
    <t>AICO Product Fee</t>
  </si>
  <si>
    <r>
      <t xml:space="preserve">PTP Index Return
</t>
    </r>
    <r>
      <rPr>
        <b/>
        <sz val="10"/>
        <color rgb="FFFFC000"/>
        <rFont val="Arial"/>
        <family val="2"/>
      </rPr>
      <t>(Select Index &amp; Term Above)</t>
    </r>
  </si>
  <si>
    <t>Manual Entry
as a positive amount</t>
  </si>
  <si>
    <t>Enhanced Income Benefit Availability</t>
  </si>
  <si>
    <t>Primary Tool Levers</t>
  </si>
  <si>
    <t>No</t>
  </si>
  <si>
    <t>Product Category</t>
  </si>
  <si>
    <t>Index Series</t>
  </si>
  <si>
    <t>Period Tab Reference</t>
  </si>
  <si>
    <t>Power Index Plus</t>
  </si>
  <si>
    <t>CDSC Period</t>
  </si>
  <si>
    <t>None</t>
  </si>
  <si>
    <t>Summary</t>
  </si>
  <si>
    <t>Specific</t>
  </si>
  <si>
    <t>Summary Subcategory*</t>
  </si>
  <si>
    <t>Standard</t>
  </si>
  <si>
    <t>Apply Maximum Credited Interest Rate**</t>
  </si>
  <si>
    <t>Maximum Credited Interest Rate**</t>
  </si>
  <si>
    <t>*Adverse category implies reversion to GMIR upon expiry of surrender charge period. Not applicable to Constant and Zero Growth summaries</t>
  </si>
  <si>
    <t>**Applicable to select products and index/strategy combinations and Specific summary only;</t>
  </si>
  <si>
    <t>Reflects 30-year S&amp;P 500 average annual PTP performance rounded to the nearest 10bps</t>
  </si>
  <si>
    <t>Demographic &amp; Product Variables</t>
  </si>
  <si>
    <t>Valued Client</t>
  </si>
  <si>
    <t>Owner DOB</t>
  </si>
  <si>
    <t>After 06/30/1949 and before 12/31/1950</t>
  </si>
  <si>
    <r>
      <t>Issue Age 1</t>
    </r>
    <r>
      <rPr>
        <b/>
        <vertAlign val="superscript"/>
        <sz val="10"/>
        <color theme="0"/>
        <rFont val="Arial"/>
        <family val="2"/>
      </rPr>
      <t>st</t>
    </r>
    <r>
      <rPr>
        <b/>
        <sz val="10"/>
        <color theme="0"/>
        <rFont val="Arial"/>
        <family val="2"/>
      </rPr>
      <t xml:space="preserve"> Annuitant</t>
    </r>
  </si>
  <si>
    <r>
      <t>Issue Age 2</t>
    </r>
    <r>
      <rPr>
        <b/>
        <vertAlign val="superscript"/>
        <sz val="10"/>
        <color theme="0"/>
        <rFont val="Arial"/>
        <family val="2"/>
      </rPr>
      <t>nd</t>
    </r>
    <r>
      <rPr>
        <b/>
        <sz val="10"/>
        <color theme="0"/>
        <rFont val="Arial"/>
        <family val="2"/>
      </rPr>
      <t xml:space="preserve"> Annuitant</t>
    </r>
  </si>
  <si>
    <t>Latest Annuity Age</t>
  </si>
  <si>
    <t>Issue State</t>
  </si>
  <si>
    <t>KS</t>
  </si>
  <si>
    <t>Qualified</t>
  </si>
  <si>
    <t>Single Life</t>
  </si>
  <si>
    <t>RMD</t>
  </si>
  <si>
    <t>RMD Age</t>
  </si>
  <si>
    <t>RMD Category Indicator</t>
  </si>
  <si>
    <t>Premium Enhancement / Bonus Rate</t>
  </si>
  <si>
    <t>Premium Enhancement / Bonus Amount</t>
  </si>
  <si>
    <t>Illustration Start Date</t>
  </si>
  <si>
    <t>Performance Focus Period</t>
  </si>
  <si>
    <t>Performance Focus End Date</t>
  </si>
  <si>
    <t>Projection Period</t>
  </si>
  <si>
    <t>Illustration End Date</t>
  </si>
  <si>
    <t>Minimum Withdrawal Value Basis</t>
  </si>
  <si>
    <t>Geometric Average Return</t>
  </si>
  <si>
    <t>Minimum Withdrawal Value Rate</t>
  </si>
  <si>
    <t>Arithmetic Average Return</t>
  </si>
  <si>
    <t>Constant Growth Rate</t>
  </si>
  <si>
    <t>Annual Fixed Rate</t>
  </si>
  <si>
    <t>Annuitization Summary****</t>
  </si>
  <si>
    <t>Guaranteed Minimum Interest Rate</t>
  </si>
  <si>
    <t>Settlement Option</t>
  </si>
  <si>
    <t>Period Certain</t>
  </si>
  <si>
    <t>GMAB Cadence</t>
  </si>
  <si>
    <t>CDSC</t>
  </si>
  <si>
    <t>Select payment frequency (m) =&gt;</t>
  </si>
  <si>
    <t>Monthly</t>
  </si>
  <si>
    <t>GMAB Rate (rate per annum)</t>
  </si>
  <si>
    <t>Applied Interest Rate (i)</t>
  </si>
  <si>
    <t>Age on Annuitization*****</t>
  </si>
  <si>
    <r>
      <t>Nominal Interest Rate (i</t>
    </r>
    <r>
      <rPr>
        <i/>
        <vertAlign val="superscript"/>
        <sz val="10"/>
        <color theme="0"/>
        <rFont val="Arial"/>
        <family val="2"/>
      </rPr>
      <t>(m)</t>
    </r>
    <r>
      <rPr>
        <i/>
        <sz val="10"/>
        <color theme="0"/>
        <rFont val="Arial"/>
        <family val="2"/>
      </rPr>
      <t>)</t>
    </r>
  </si>
  <si>
    <t>Penalty Free Withdrawal Rate</t>
  </si>
  <si>
    <t>Discount Rate (d)</t>
  </si>
  <si>
    <t>Withdrawal Rate (% of MAWA / GLIA)</t>
  </si>
  <si>
    <r>
      <t>Nominal Discount Rate (d</t>
    </r>
    <r>
      <rPr>
        <i/>
        <vertAlign val="superscript"/>
        <sz val="10"/>
        <color theme="0"/>
        <rFont val="Arial"/>
        <family val="2"/>
      </rPr>
      <t>(m)</t>
    </r>
    <r>
      <rPr>
        <i/>
        <sz val="10"/>
        <color theme="0"/>
        <rFont val="Arial"/>
        <family val="2"/>
      </rPr>
      <t>)</t>
    </r>
  </si>
  <si>
    <t>Lifetime Income Activation Duration</t>
  </si>
  <si>
    <t>Dicount Factor (v)</t>
  </si>
  <si>
    <t>Age at First Withdrawal</t>
  </si>
  <si>
    <r>
      <t>Applicable Annuity Factor (ä</t>
    </r>
    <r>
      <rPr>
        <b/>
        <i/>
        <vertAlign val="subscript"/>
        <sz val="10"/>
        <color theme="0"/>
        <rFont val="Arial"/>
        <family val="2"/>
      </rPr>
      <t>n</t>
    </r>
    <r>
      <rPr>
        <b/>
        <i/>
        <vertAlign val="superscript"/>
        <sz val="10"/>
        <color theme="0"/>
        <rFont val="Arial"/>
        <family val="2"/>
      </rPr>
      <t>(m)</t>
    </r>
    <r>
      <rPr>
        <b/>
        <i/>
        <sz val="10"/>
        <color theme="0"/>
        <rFont val="Arial"/>
        <family val="2"/>
      </rPr>
      <t>)</t>
    </r>
  </si>
  <si>
    <t>Greater of Contract Value or Minimum Withdrawal Value at Minimum Rates</t>
  </si>
  <si>
    <r>
      <t xml:space="preserve">&lt;= Select </t>
    </r>
    <r>
      <rPr>
        <i/>
        <u/>
        <sz val="10"/>
        <color rgb="FF4F00CA"/>
        <rFont val="Arial"/>
        <family val="2"/>
      </rPr>
      <t>Constant Growth</t>
    </r>
    <r>
      <rPr>
        <sz val="10"/>
        <color rgb="FF4F00CA"/>
        <rFont val="Arial"/>
        <family val="2"/>
      </rPr>
      <t xml:space="preserve"> Summary, copy and paste result from the right to the left as value =&gt;</t>
    </r>
  </si>
  <si>
    <t>Systematic Withdrawals</t>
  </si>
  <si>
    <t>Greater of Contract Value or Minimum Withdrawal Value at Current Rates</t>
  </si>
  <si>
    <r>
      <t xml:space="preserve">&lt;= Select </t>
    </r>
    <r>
      <rPr>
        <i/>
        <u/>
        <sz val="10"/>
        <color rgb="FF4F00CA"/>
        <rFont val="Arial"/>
        <family val="2"/>
      </rPr>
      <t>Specific</t>
    </r>
    <r>
      <rPr>
        <sz val="10"/>
        <color rgb="FF4F00CA"/>
        <rFont val="Arial"/>
        <family val="2"/>
      </rPr>
      <t xml:space="preserve"> Summary, copy and paste result from the right to the left as value =&gt;</t>
    </r>
  </si>
  <si>
    <t>Systematic Withdrawal Mode</t>
  </si>
  <si>
    <t>Fixed Amount</t>
  </si>
  <si>
    <t>*****At deemed maturity (older of Age 70 or Issue Age + 10 Years but not exceeding latest annuity age)</t>
  </si>
  <si>
    <t>Withdrawal Percentage</t>
  </si>
  <si>
    <t>Duration Start</t>
  </si>
  <si>
    <t>Duration End</t>
  </si>
  <si>
    <t>****Completion requires manual inputs per directions within range X75:AI76</t>
  </si>
  <si>
    <t>Enhanced Income Confinement Rider</t>
  </si>
  <si>
    <t>Enhanced Income Rate</t>
  </si>
  <si>
    <t>Overlay Multiplier Rate</t>
  </si>
  <si>
    <t>Overlay Maximum Rate</t>
  </si>
  <si>
    <t>Income Credit Rate</t>
  </si>
  <si>
    <t>Income Credit Period</t>
  </si>
  <si>
    <t>Gross Income Credit Rate Multiplier 1</t>
  </si>
  <si>
    <t>Gross Income Credit Rate Multiplier 2</t>
  </si>
  <si>
    <t>Net Income Credit Rate Multiplier 1</t>
  </si>
  <si>
    <t>Net Income Credit Rate Multiplier 2</t>
  </si>
  <si>
    <t>Contract Value / Minimum Accumulation Value Reset Duration</t>
  </si>
  <si>
    <t>Income Percentage Increase</t>
  </si>
  <si>
    <t>Maximum Income Growth Period</t>
  </si>
  <si>
    <t>Universe of Available Strategies</t>
  </si>
  <si>
    <t>CaB Indicator</t>
  </si>
  <si>
    <t xml:space="preserve">Preliminary Section </t>
  </si>
  <si>
    <t>QA</t>
  </si>
  <si>
    <t>Final Section</t>
  </si>
  <si>
    <t>Optional Strategy Rates Override Table</t>
  </si>
  <si>
    <t>!!! Do not overwrite allocation percentages in this section !!!</t>
  </si>
  <si>
    <t>Trigger</t>
  </si>
  <si>
    <t>Interest Bonus Rate</t>
  </si>
  <si>
    <t>Grid</t>
  </si>
  <si>
    <t>Summary Type</t>
  </si>
  <si>
    <t>Starting Date</t>
  </si>
  <si>
    <t>Index Range</t>
  </si>
  <si>
    <t>Match Range 1</t>
  </si>
  <si>
    <t>Match Range 2</t>
  </si>
  <si>
    <t>Calculator</t>
  </si>
  <si>
    <t>Calculator Index</t>
  </si>
  <si>
    <t>Period Tab</t>
  </si>
  <si>
    <t>LB Category Index</t>
  </si>
  <si>
    <t>Living Benefit (Yes/No)</t>
  </si>
  <si>
    <t>Current Living Benefit 1</t>
  </si>
  <si>
    <t>Current Living Benefit 2</t>
  </si>
  <si>
    <t>Living Benefit 1 Index</t>
  </si>
  <si>
    <t>Living Benefit 2 Index</t>
  </si>
  <si>
    <t>Service Living Benefit 1</t>
  </si>
  <si>
    <t>Service Living Benefit 2</t>
  </si>
  <si>
    <t>Service Living Benefit 3</t>
  </si>
  <si>
    <t>WC% Considerations</t>
  </si>
  <si>
    <t>Standard WC%</t>
  </si>
  <si>
    <t>Comments</t>
  </si>
  <si>
    <t>PE% / PB% Considerations</t>
  </si>
  <si>
    <t>Standard PE% / PB%</t>
  </si>
  <si>
    <t>Rates as at =&gt;</t>
  </si>
  <si>
    <t>10/012025</t>
  </si>
  <si>
    <t>WC%</t>
  </si>
  <si>
    <t>PE% / PB%</t>
  </si>
  <si>
    <t>PER / PBR</t>
  </si>
  <si>
    <t>MIB</t>
  </si>
  <si>
    <t>GLB</t>
  </si>
  <si>
    <t>IC</t>
  </si>
  <si>
    <t>Fee</t>
  </si>
  <si>
    <t>SF</t>
  </si>
  <si>
    <t>SFC</t>
  </si>
  <si>
    <t>MAWP / PIPP</t>
  </si>
  <si>
    <t>GLIP</t>
  </si>
  <si>
    <t>Earliest Age</t>
  </si>
  <si>
    <t>Breakpoint</t>
  </si>
  <si>
    <t>Free WD</t>
  </si>
  <si>
    <t>MWV</t>
  </si>
  <si>
    <t>MCIR</t>
  </si>
  <si>
    <t>GMAB</t>
  </si>
  <si>
    <t>Reset</t>
  </si>
  <si>
    <t>IPI</t>
  </si>
  <si>
    <t>!AQ11:BT1000</t>
  </si>
  <si>
    <t>!AI11:AI1000</t>
  </si>
  <si>
    <t>!AQ3:BT3</t>
  </si>
  <si>
    <t>Advisory Series</t>
  </si>
  <si>
    <t>P1</t>
  </si>
  <si>
    <t>Power Index Advisory</t>
  </si>
  <si>
    <t>MAWP</t>
  </si>
  <si>
    <t>PIPP</t>
  </si>
  <si>
    <t>AG Choice Index 10</t>
  </si>
  <si>
    <t>N</t>
  </si>
  <si>
    <t>Constant Growth</t>
  </si>
  <si>
    <t>!CD11:DG1000</t>
  </si>
  <si>
    <t>!BV11:BV1000</t>
  </si>
  <si>
    <t>!CD3:DG3</t>
  </si>
  <si>
    <t>Power Index Elite Advisory</t>
  </si>
  <si>
    <t>Clone of Power Index Advisory Income, LB turned off in order to support Advisory Fee feature. Product with GLB reflected in Index Series</t>
  </si>
  <si>
    <t>Benefit 1</t>
  </si>
  <si>
    <t>Benefit 2</t>
  </si>
  <si>
    <t>Benefit 3</t>
  </si>
  <si>
    <t>Benefit 4</t>
  </si>
  <si>
    <t>Benefit 5</t>
  </si>
  <si>
    <t>Benefit 6</t>
  </si>
  <si>
    <t>Benefit 7</t>
  </si>
  <si>
    <t>Benefit 8</t>
  </si>
  <si>
    <t>Benefit 9</t>
  </si>
  <si>
    <t>Benefit 10</t>
  </si>
  <si>
    <t>AG Choice Index 10 Plus Income</t>
  </si>
  <si>
    <t>Yes</t>
  </si>
  <si>
    <t>Zero Growth</t>
  </si>
  <si>
    <t>!DQ11:ET1000</t>
  </si>
  <si>
    <t>!DI11:DI1000</t>
  </si>
  <si>
    <t>!DQ3:ET3</t>
  </si>
  <si>
    <t>Power Select Advisory</t>
  </si>
  <si>
    <t>LB turned off in order to support Advisory Fee feature. Product with GLB reflected in Power Select Series</t>
  </si>
  <si>
    <t>Lifetime Income Choice (Lvl)</t>
  </si>
  <si>
    <t>Lifetime Income Choice (Max)</t>
  </si>
  <si>
    <t>Lifetime Income Max</t>
  </si>
  <si>
    <t>Lifetime Income Plus Multiplier Flex</t>
  </si>
  <si>
    <t>Lifetime Income Max (Advisory)</t>
  </si>
  <si>
    <t>Lifetime Income Plus Multiplier Flex (Advisory)</t>
  </si>
  <si>
    <t>Lifetime Income Plus Flex (PSPI)</t>
  </si>
  <si>
    <t>Lifetime Income Plus Multiplier Flex (PSPI)</t>
  </si>
  <si>
    <t>Lifetime Income Plus Flex (PSA)</t>
  </si>
  <si>
    <t>Lifetime Income Plus Multiplier Flex (PSA)</t>
  </si>
  <si>
    <t>Lifetime Income Builder</t>
  </si>
  <si>
    <t>Power 10 Protector</t>
  </si>
  <si>
    <t>Favorable</t>
  </si>
  <si>
    <t>!FE11:JH1000</t>
  </si>
  <si>
    <t>!EV11:EV1000</t>
  </si>
  <si>
    <t>!FE3:JH3</t>
  </si>
  <si>
    <t>P2</t>
  </si>
  <si>
    <t>C-6, CA-8</t>
  </si>
  <si>
    <t>State dependent surrender charge schedule. Compact states follow schedule 6, CA follows schedule 8</t>
  </si>
  <si>
    <t>Power 10 Protector Plus Income - Level Income</t>
  </si>
  <si>
    <t>Unfavorable</t>
  </si>
  <si>
    <t>!GS11:HV1000</t>
  </si>
  <si>
    <t>!GJ11:GJ1000</t>
  </si>
  <si>
    <t>!GS3:HV3</t>
  </si>
  <si>
    <t>Lifetime Income Plus Flex</t>
  </si>
  <si>
    <t>Lifetime Income Plus Multiplier</t>
  </si>
  <si>
    <t>Lifetime Income Plus</t>
  </si>
  <si>
    <t>Power 10 Protector Plus Income - Max Income</t>
  </si>
  <si>
    <t>Most Recent</t>
  </si>
  <si>
    <t>!IF11:JI1000</t>
  </si>
  <si>
    <t>!HX11:HX1000</t>
  </si>
  <si>
    <t>!IF3:JI3</t>
  </si>
  <si>
    <t>Power Index 5 Plus (Standard)</t>
  </si>
  <si>
    <t>Power 5 Protector</t>
  </si>
  <si>
    <t>Y</t>
  </si>
  <si>
    <t>Power Index Plus (Chase)</t>
  </si>
  <si>
    <t>Variable</t>
  </si>
  <si>
    <t>Power 7 Protector</t>
  </si>
  <si>
    <t>Power Index 5 Plus (Wells Fargo)</t>
  </si>
  <si>
    <t>Power 7 Protector Plus Income - Level Income</t>
  </si>
  <si>
    <t>Power Index 5 Plus Income (Wells Fargo)</t>
  </si>
  <si>
    <t>Power 7 Protector Plus Income - Max Income</t>
  </si>
  <si>
    <t>Power Index 5 Elite</t>
  </si>
  <si>
    <t>Power Advantage 10</t>
  </si>
  <si>
    <t>!AN11:AP1000</t>
  </si>
  <si>
    <t>!AN10:AP10</t>
  </si>
  <si>
    <t>Power Index 5 Elite Plus Income</t>
  </si>
  <si>
    <t>Power Advantage 10 Plus Income</t>
  </si>
  <si>
    <t>!CA11:CC1000</t>
  </si>
  <si>
    <t>!CA10:CC10</t>
  </si>
  <si>
    <t>Power Index 7 Plus (Wells Fargo)</t>
  </si>
  <si>
    <t>Power Advantage 7</t>
  </si>
  <si>
    <t>!DN11:DP1000</t>
  </si>
  <si>
    <t>!DN10:DP10</t>
  </si>
  <si>
    <t>Power Index 7 Plus Income (Wells Fargo)</t>
  </si>
  <si>
    <t>Power Advantage 7 Plus Income</t>
  </si>
  <si>
    <t>!FB11:FD1000</t>
  </si>
  <si>
    <t>!FB10:FD10</t>
  </si>
  <si>
    <t>Power Index Elite</t>
  </si>
  <si>
    <t>Power Index 5 NY</t>
  </si>
  <si>
    <t>!GP11:GR1000</t>
  </si>
  <si>
    <t>!GP10:GR10</t>
  </si>
  <si>
    <t>Power Index Elite Plus Income</t>
  </si>
  <si>
    <t>Power Index 5 NY with LIB</t>
  </si>
  <si>
    <t>!IC11:IE1000</t>
  </si>
  <si>
    <t>!IC10:IE10</t>
  </si>
  <si>
    <t>Power Index Plus Income</t>
  </si>
  <si>
    <t>Power Index Preferred</t>
  </si>
  <si>
    <t>Clone of Power Index Plus Income</t>
  </si>
  <si>
    <t>Power Index Preferred Plus Income</t>
  </si>
  <si>
    <t>Election Type</t>
  </si>
  <si>
    <t>Power Index Advisory Income</t>
  </si>
  <si>
    <t>Power Index Elite Advisory with GLB</t>
  </si>
  <si>
    <t>Clone of Power Index Advisory Income</t>
  </si>
  <si>
    <t>Fixed Percentage</t>
  </si>
  <si>
    <t>Power Index Premier</t>
  </si>
  <si>
    <t>Joint Life</t>
  </si>
  <si>
    <t>FWD***</t>
  </si>
  <si>
    <t>Power Index Premier Plus Income</t>
  </si>
  <si>
    <t>P3</t>
  </si>
  <si>
    <t>Switches</t>
  </si>
  <si>
    <t>Summary Subcategory</t>
  </si>
  <si>
    <t>Power Index Premier NY</t>
  </si>
  <si>
    <t>Adverse</t>
  </si>
  <si>
    <t>Power Index Premier NY with LIB</t>
  </si>
  <si>
    <t>Power Select Series</t>
  </si>
  <si>
    <t>P4</t>
  </si>
  <si>
    <t>Power Select Builder</t>
  </si>
  <si>
    <t>Power Select Builder 8</t>
  </si>
  <si>
    <t>Annual</t>
  </si>
  <si>
    <t>Power Select Plus Income</t>
  </si>
  <si>
    <t>Non-Qualified</t>
  </si>
  <si>
    <t>Power Select Advisory with GLB</t>
  </si>
  <si>
    <t>Shelf &amp; Power Protector Series</t>
  </si>
  <si>
    <t>P5</t>
  </si>
  <si>
    <t>DOB Category</t>
  </si>
  <si>
    <t>Lifetime Income Choice</t>
  </si>
  <si>
    <t>Before 07/01/1949</t>
  </si>
  <si>
    <t>After 12/31/1950 and before 1/1/1960</t>
  </si>
  <si>
    <t>After 12/31/1959</t>
  </si>
  <si>
    <t>MWV Basis</t>
  </si>
  <si>
    <t>Applicable?</t>
  </si>
  <si>
    <t>Shelf Index Series</t>
  </si>
  <si>
    <t>P6</t>
  </si>
  <si>
    <t>CA-6</t>
  </si>
  <si>
    <t>State dependent recapture schedule, CA follows schedule 6</t>
  </si>
  <si>
    <t>Rates</t>
  </si>
  <si>
    <t>Power Select AICO</t>
  </si>
  <si>
    <t>Additional Interest Credit Overlay Series</t>
  </si>
  <si>
    <t>P7</t>
  </si>
  <si>
    <t>Tab</t>
  </si>
  <si>
    <t>Currently Selected Product</t>
  </si>
  <si>
    <t>!BN4:DB4</t>
  </si>
  <si>
    <t>!BN10:DB10</t>
  </si>
  <si>
    <t>!BM4:DA4</t>
  </si>
  <si>
    <t>!BM10:DA10</t>
  </si>
  <si>
    <t>LIB</t>
  </si>
  <si>
    <t>LIC</t>
  </si>
  <si>
    <t>LIMLIPMF</t>
  </si>
  <si>
    <t>LIPFLIPMF</t>
  </si>
  <si>
    <t>!K4:AX4</t>
  </si>
  <si>
    <t>!K10:AX10</t>
  </si>
  <si>
    <t>Duration</t>
  </si>
  <si>
    <t>Withdrawal Charge %</t>
  </si>
  <si>
    <t>Row</t>
  </si>
  <si>
    <t>!CP4:ED4</t>
  </si>
  <si>
    <t>!CP10:ED10</t>
  </si>
  <si>
    <t>!CQ4:EE4</t>
  </si>
  <si>
    <t>!CQ10:EE10</t>
  </si>
  <si>
    <t>!CO4:EC4</t>
  </si>
  <si>
    <t>!CO10:EC10</t>
  </si>
  <si>
    <t>Benefit</t>
  </si>
  <si>
    <t>Order of Selection</t>
  </si>
  <si>
    <t>Enhnaced Income Benefit Status</t>
  </si>
  <si>
    <t>!CP4:EH4</t>
  </si>
  <si>
    <t>!CP10:EH10</t>
  </si>
  <si>
    <t>5 Years Remaining</t>
  </si>
  <si>
    <t>4 Years Remaining</t>
  </si>
  <si>
    <t>Miscellaneous Mapping</t>
  </si>
  <si>
    <t>3 Years Remaining</t>
  </si>
  <si>
    <t>1-year</t>
  </si>
  <si>
    <t>Index Annual Change</t>
  </si>
  <si>
    <t>2 Years Remaining</t>
  </si>
  <si>
    <t>2-year</t>
  </si>
  <si>
    <t>Index Biennial Change</t>
  </si>
  <si>
    <t>1 Year Remaining</t>
  </si>
  <si>
    <t>5-year</t>
  </si>
  <si>
    <t>Index Quinquennial Change</t>
  </si>
  <si>
    <t>Benefit Exhausted</t>
  </si>
  <si>
    <t>Enhnaced Income Benefit (Confinement) Rider</t>
  </si>
  <si>
    <t>Maximum EIP</t>
  </si>
  <si>
    <t>State</t>
  </si>
  <si>
    <t>Compact</t>
  </si>
  <si>
    <t>Compact Switch</t>
  </si>
  <si>
    <t>Model Reg State</t>
  </si>
  <si>
    <t>AK</t>
  </si>
  <si>
    <t>Lifetime Income Plus Multipier Flex</t>
  </si>
  <si>
    <t>AL</t>
  </si>
  <si>
    <t>AR</t>
  </si>
  <si>
    <t>AZ</t>
  </si>
  <si>
    <t>Band</t>
  </si>
  <si>
    <t>Premium Enhancement / Bonus %</t>
  </si>
  <si>
    <t>CA</t>
  </si>
  <si>
    <t>CO</t>
  </si>
  <si>
    <t>CT</t>
  </si>
  <si>
    <t>DC</t>
  </si>
  <si>
    <t>Premium Enhancement / Bonus Recapture</t>
  </si>
  <si>
    <t>Settlement Options</t>
  </si>
  <si>
    <t>DE</t>
  </si>
  <si>
    <t>Life</t>
  </si>
  <si>
    <t>FL</t>
  </si>
  <si>
    <t>Life with Period Certain 10</t>
  </si>
  <si>
    <t>GA</t>
  </si>
  <si>
    <t>Life with Period Certain 20</t>
  </si>
  <si>
    <t>HI</t>
  </si>
  <si>
    <t>J&amp;S Life</t>
  </si>
  <si>
    <t>IA</t>
  </si>
  <si>
    <t>J&amp;S Life with Period Certain 10</t>
  </si>
  <si>
    <t>ID</t>
  </si>
  <si>
    <t>J&amp;S Life with Period Certain 20</t>
  </si>
  <si>
    <t>IL</t>
  </si>
  <si>
    <t>IN</t>
  </si>
  <si>
    <t>Payment Frequency</t>
  </si>
  <si>
    <t>m</t>
  </si>
  <si>
    <t>KY</t>
  </si>
  <si>
    <t>LA</t>
  </si>
  <si>
    <t>Semiannual</t>
  </si>
  <si>
    <t>MA</t>
  </si>
  <si>
    <t>Quarterly</t>
  </si>
  <si>
    <t>MD</t>
  </si>
  <si>
    <t>ME</t>
  </si>
  <si>
    <t>MI</t>
  </si>
  <si>
    <t>MN</t>
  </si>
  <si>
    <t>MO</t>
  </si>
  <si>
    <t>Minimum Income Base Multiplier</t>
  </si>
  <si>
    <t xml:space="preserve">   *Minimum Income Base does not apply for LIPMF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</si>
  <si>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</si>
  <si>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</si>
  <si>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</si>
  <si>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</si>
  <si>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</si>
  <si>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</si>
  <si>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</si>
  <si>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</si>
  <si>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</si>
  <si>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Tier</t>
  </si>
  <si>
    <t>NY</t>
  </si>
  <si>
    <t>Tier 1</t>
  </si>
  <si>
    <t>OH</t>
  </si>
  <si>
    <t>Tier 2</t>
  </si>
  <si>
    <t>OK</t>
  </si>
  <si>
    <t>OR</t>
  </si>
  <si>
    <t>Strategy Fee Credit Duration</t>
  </si>
  <si>
    <t>PA</t>
  </si>
  <si>
    <t>RI</t>
  </si>
  <si>
    <t>SC</t>
  </si>
  <si>
    <t xml:space="preserve">   *Earliest Age at First MAWA Withdrawal</t>
  </si>
  <si>
    <t>SD</t>
  </si>
  <si>
    <t>TN</t>
  </si>
  <si>
    <t>TX</t>
  </si>
  <si>
    <t>Premium Breakpoint</t>
  </si>
  <si>
    <t>UT</t>
  </si>
  <si>
    <t>VA</t>
  </si>
  <si>
    <t>VT</t>
  </si>
  <si>
    <t>Free Withdrawal %</t>
  </si>
  <si>
    <t>WA</t>
  </si>
  <si>
    <t>WI</t>
  </si>
  <si>
    <t>WV</t>
  </si>
  <si>
    <t>WY</t>
  </si>
  <si>
    <t xml:space="preserve">Maximum Income Period* </t>
  </si>
  <si>
    <t>*State dependent where highlighted</t>
  </si>
  <si>
    <t>CV / MAV Reset Duration</t>
  </si>
  <si>
    <t>Products with Variable CDSC Periods</t>
  </si>
  <si>
    <t>Current Selection</t>
  </si>
  <si>
    <t>CDSC Period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</si>
</sst>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mm/dd/yy"/>
    <numFmt numFmtId="165" formatCode="0.00%_);[Color9]\(0.00%\);_(* &quot;-&quot;??_);_(@_)"/>
    <numFmt numFmtId="166" formatCode="_(* #,##0_);_(* \(#,##0\);_(* &quot;-&quot;??_);_(@_)"/>
    <numFmt numFmtId="167" formatCode="0.000%"/>
    <numFmt numFmtId="168" formatCode="_(* #,##0.0000_);_(* \(#,##0.0000\);_(* &quot;-&quot;????_);_(@_)"/>
    <numFmt numFmtId="169" formatCode="_(* #,##0.000000000_);_(* \(#,##0.000000000\);_(* &quot;-&quot;??_);_(@_)"/>
    <numFmt numFmtId="170" formatCode="0.000000%"/>
    <numFmt numFmtId="171" formatCode="_(* #,##0.0000_);_(* \(#,##0.0000\);_(* &quot;-&quot;??_);_(@_)"/>
    <numFmt numFmtId="172" formatCode="0%_);[Color9]\(0%\);_(* &quot;-&quot;??_);_(@_)"/>
    <numFmt numFmtId="173" formatCode="_(* #,##0.0_);_(* \(#,##0.0\);_(* &quot;-&quot;??_);_(@_)"/>
    <numFmt numFmtId="174" formatCode="0.0%"/>
  </numFmts>
  <fonts count="4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i/>
      <sz val="12"/>
      <color theme="7" tint="0.79998168889431442"/>
      <name val="Arial"/>
      <family val="2"/>
    </font>
    <font>
      <b/>
      <sz val="10"/>
      <color rgb="FF4F00CA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theme="7" tint="0.79998168889431442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rgb="FF20113E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C00000"/>
      <name val="Arial"/>
      <family val="2"/>
    </font>
    <font>
      <b/>
      <sz val="20"/>
      <color rgb="FFC053EF"/>
      <name val="Arial"/>
      <family val="2"/>
    </font>
    <font>
      <b/>
      <i/>
      <sz val="12"/>
      <color theme="0"/>
      <name val="Arial"/>
      <family val="2"/>
    </font>
    <font>
      <b/>
      <sz val="20"/>
      <color theme="1"/>
      <name val="Arial"/>
      <family val="2"/>
    </font>
    <font>
      <b/>
      <sz val="20"/>
      <color rgb="FFC00000"/>
      <name val="Arial"/>
      <family val="2"/>
    </font>
    <font>
      <b/>
      <sz val="10"/>
      <color rgb="FFECFAB8"/>
      <name val="Arial"/>
      <family val="2"/>
    </font>
    <font>
      <b/>
      <i/>
      <sz val="10"/>
      <color rgb="FF4F00CA"/>
      <name val="Arial"/>
      <family val="2"/>
    </font>
    <font>
      <sz val="10"/>
      <color rgb="FFC053EF"/>
      <name val="Arial"/>
      <family val="2"/>
    </font>
    <font>
      <b/>
      <sz val="10"/>
      <color rgb="FFFFC000"/>
      <name val="Arial"/>
      <family val="2"/>
    </font>
    <font>
      <b/>
      <i/>
      <u/>
      <sz val="10"/>
      <color theme="0"/>
      <name val="Arial"/>
      <family val="2"/>
    </font>
    <font>
      <b/>
      <sz val="12"/>
      <color theme="0"/>
      <name val="Arial"/>
      <family val="2"/>
    </font>
    <font>
      <b/>
      <i/>
      <sz val="12"/>
      <color rgb="FFC00000"/>
      <name val="Arial"/>
      <family val="2"/>
    </font>
    <font>
      <i/>
      <sz val="10"/>
      <color rgb="FFC00000"/>
      <name val="Arial"/>
      <family val="2"/>
    </font>
    <font>
      <b/>
      <i/>
      <sz val="11"/>
      <color theme="0"/>
      <name val="Arial"/>
      <family val="2"/>
    </font>
    <font>
      <b/>
      <i/>
      <sz val="12"/>
      <name val="Arial"/>
      <family val="2"/>
    </font>
    <font>
      <b/>
      <i/>
      <sz val="11"/>
      <color rgb="FFC00000"/>
      <name val="Arial"/>
      <family val="2"/>
    </font>
    <font>
      <b/>
      <i/>
      <sz val="11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theme="0"/>
      <name val="Arial"/>
      <family val="2"/>
    </font>
    <font>
      <b/>
      <sz val="10"/>
      <name val="Arial"/>
      <family val="2"/>
    </font>
    <font>
      <i/>
      <sz val="10"/>
      <color theme="0"/>
      <name val="Arial"/>
      <family val="2"/>
    </font>
    <font>
      <i/>
      <vertAlign val="superscript"/>
      <sz val="10"/>
      <color theme="0"/>
      <name val="Arial"/>
      <family val="2"/>
    </font>
    <font>
      <b/>
      <i/>
      <vertAlign val="subscript"/>
      <sz val="10"/>
      <color theme="0"/>
      <name val="Arial"/>
      <family val="2"/>
    </font>
    <font>
      <b/>
      <i/>
      <vertAlign val="superscript"/>
      <sz val="10"/>
      <color theme="0"/>
      <name val="Arial"/>
      <family val="2"/>
    </font>
    <font>
      <sz val="10"/>
      <color rgb="FF4F00CA"/>
      <name val="Arial"/>
      <family val="2"/>
    </font>
    <font>
      <i/>
      <u/>
      <sz val="10"/>
      <color rgb="FF4F00CA"/>
      <name val="Arial"/>
      <family val="2"/>
    </font>
    <font>
      <sz val="10"/>
      <color rgb="FF0000CC"/>
      <name val="Wingdings"/>
      <charset val="2"/>
    </font>
    <font>
      <i/>
      <sz val="10"/>
      <color rgb="FF4F00CA"/>
      <name val="Arial"/>
      <family val="2"/>
    </font>
    <font>
      <sz val="10"/>
      <color indexed="81"/>
      <name val="Times New Roman"/>
      <family val="1"/>
    </font>
    <font>
      <sz val="11"/>
      <name val="Times New Roman"/>
      <family val="1"/>
    </font>
    <font>
      <sz val="10"/>
      <color rgb="FFC00000"/>
      <name val="Arial"/>
      <family val="2"/>
    </font>
    <font>
      <u/>
      <sz val="10"/>
      <color theme="10"/>
      <name val="Arial"/>
      <family val="2"/>
    </font>
    <font>
      <b/>
      <i/>
      <sz val="10"/>
      <color theme="10"/>
      <name val="Arial"/>
      <family val="2"/>
    </font>
    <font>
      <b/>
      <sz val="10"/>
      <color rgb="FF3562FF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E0FB"/>
        <bgColor indexed="64"/>
      </patternFill>
    </fill>
    <fill>
      <patternFill patternType="solid">
        <fgColor rgb="FF20113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F00C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C602F"/>
        <bgColor indexed="64"/>
      </patternFill>
    </fill>
    <fill>
      <patternFill patternType="solid">
        <fgColor rgb="FF7B29FF"/>
        <bgColor indexed="64"/>
      </patternFill>
    </fill>
    <fill>
      <patternFill patternType="solid">
        <fgColor rgb="FFECFAB8"/>
        <bgColor indexed="64"/>
      </patternFill>
    </fill>
    <fill>
      <patternFill patternType="solid">
        <fgColor rgb="FFC9D5FF"/>
        <bgColor indexed="64"/>
      </patternFill>
    </fill>
    <fill>
      <patternFill patternType="solid">
        <fgColor rgb="FF42AC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562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F577"/>
        <bgColor indexed="64"/>
      </patternFill>
    </fill>
    <fill>
      <patternFill patternType="solid">
        <fgColor rgb="FFA6CF0F"/>
        <bgColor indexed="64"/>
      </patternFill>
    </fill>
    <fill>
      <patternFill patternType="solid">
        <fgColor rgb="FFF0815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586FF"/>
        <bgColor indexed="64"/>
      </patternFill>
    </fill>
    <fill>
      <patternFill patternType="solid">
        <fgColor rgb="FFFBEAC0"/>
        <bgColor indexed="64"/>
      </patternFill>
    </fill>
    <fill>
      <patternFill patternType="solid">
        <fgColor rgb="FFF1FBCB"/>
        <bgColor indexed="64"/>
      </patternFill>
    </fill>
    <fill>
      <patternFill patternType="solid">
        <fgColor rgb="FFD5F4F3"/>
        <bgColor indexed="64"/>
      </patternFill>
    </fill>
    <fill>
      <patternFill patternType="solid">
        <fgColor rgb="FFF0845E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E4AC"/>
        <bgColor indexed="64"/>
      </patternFill>
    </fill>
    <fill>
      <patternFill patternType="solid">
        <fgColor theme="0" tint="-0.499984740745262"/>
        <bgColor indexed="64"/>
      </patternFill>
    </fill>
  </fills>
  <borders count="8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4F00CA"/>
      </top>
      <bottom style="thin">
        <color rgb="FF4F00C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double">
        <color theme="0"/>
      </right>
      <top style="thin">
        <color theme="0"/>
      </top>
      <bottom style="thin">
        <color theme="0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double">
        <color theme="0"/>
      </right>
      <top style="thin">
        <color theme="0"/>
      </top>
      <bottom style="thin">
        <color indexed="64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double">
        <color theme="0"/>
      </left>
      <right/>
      <top style="thin">
        <color indexed="64"/>
      </top>
      <bottom/>
      <diagonal/>
    </border>
    <border>
      <left/>
      <right style="double">
        <color theme="0"/>
      </right>
      <top style="thin">
        <color indexed="64"/>
      </top>
      <bottom/>
      <diagonal/>
    </border>
    <border>
      <left style="double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double">
        <color theme="0"/>
      </left>
      <right/>
      <top/>
      <bottom style="thin">
        <color theme="0"/>
      </bottom>
      <diagonal/>
    </border>
    <border>
      <left/>
      <right style="double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double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double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double">
        <color theme="0"/>
      </left>
      <right/>
      <top/>
      <bottom/>
      <diagonal/>
    </border>
    <border>
      <left/>
      <right style="double">
        <color theme="0"/>
      </right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double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double">
        <color theme="0"/>
      </left>
      <right/>
      <top/>
      <bottom style="thin">
        <color auto="1"/>
      </bottom>
      <diagonal/>
    </border>
    <border>
      <left/>
      <right style="double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3" fillId="0" borderId="0"/>
    <xf numFmtId="0" fontId="45" fillId="0" borderId="0" applyNumberFormat="0" applyFill="0" applyBorder="0" applyAlignment="0" applyProtection="0"/>
  </cellStyleXfs>
  <cellXfs count="694">
    <xf numFmtId="0" fontId="0" fillId="0" borderId="0" xfId="0"/>
    <xf numFmtId="0" fontId="1" fillId="0" borderId="0" xfId="1" applyAlignment="1">
      <alignment vertical="center"/>
    </xf>
    <xf numFmtId="0" fontId="1" fillId="2" borderId="1" xfId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3" fillId="5" borderId="0" xfId="1" applyFont="1" applyFill="1" applyAlignment="1">
      <alignment horizontal="center" vertical="center"/>
    </xf>
    <xf numFmtId="0" fontId="4" fillId="6" borderId="5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6" borderId="7" xfId="1" applyFont="1" applyFill="1" applyBorder="1" applyAlignment="1">
      <alignment horizontal="center" vertical="center" wrapText="1"/>
    </xf>
    <xf numFmtId="0" fontId="1" fillId="0" borderId="1" xfId="1" applyBorder="1" applyAlignment="1">
      <alignment vertical="center"/>
    </xf>
    <xf numFmtId="0" fontId="4" fillId="6" borderId="8" xfId="1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center" vertical="center" wrapText="1"/>
    </xf>
    <xf numFmtId="0" fontId="4" fillId="6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vertical="center"/>
    </xf>
    <xf numFmtId="0" fontId="1" fillId="2" borderId="10" xfId="1" applyFill="1" applyBorder="1" applyAlignment="1">
      <alignment vertical="center"/>
    </xf>
    <xf numFmtId="0" fontId="5" fillId="8" borderId="5" xfId="1" applyFont="1" applyFill="1" applyBorder="1" applyAlignment="1">
      <alignment vertical="center"/>
    </xf>
    <xf numFmtId="0" fontId="9" fillId="5" borderId="6" xfId="1" applyFont="1" applyFill="1" applyBorder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0" fontId="10" fillId="8" borderId="5" xfId="1" applyFont="1" applyFill="1" applyBorder="1" applyAlignment="1">
      <alignment vertical="center"/>
    </xf>
    <xf numFmtId="0" fontId="10" fillId="8" borderId="17" xfId="1" applyFont="1" applyFill="1" applyBorder="1" applyAlignment="1">
      <alignment vertical="center"/>
    </xf>
    <xf numFmtId="10" fontId="10" fillId="5" borderId="7" xfId="2" applyNumberFormat="1" applyFont="1" applyFill="1" applyBorder="1" applyAlignment="1">
      <alignment horizontal="center" vertical="center"/>
    </xf>
    <xf numFmtId="10" fontId="10" fillId="5" borderId="6" xfId="2" applyNumberFormat="1" applyFont="1" applyFill="1" applyBorder="1" applyAlignment="1">
      <alignment horizontal="center" vertical="center"/>
    </xf>
    <xf numFmtId="0" fontId="7" fillId="9" borderId="20" xfId="1" applyFont="1" applyFill="1" applyBorder="1" applyAlignment="1">
      <alignment horizontal="center" vertical="center" wrapText="1"/>
    </xf>
    <xf numFmtId="0" fontId="5" fillId="8" borderId="17" xfId="1" applyFont="1" applyFill="1" applyBorder="1" applyAlignment="1">
      <alignment vertical="center"/>
    </xf>
    <xf numFmtId="0" fontId="9" fillId="5" borderId="1" xfId="1" applyFont="1" applyFill="1" applyBorder="1" applyAlignment="1">
      <alignment horizontal="right" vertical="center"/>
    </xf>
    <xf numFmtId="10" fontId="10" fillId="5" borderId="0" xfId="2" applyNumberFormat="1" applyFont="1" applyFill="1" applyBorder="1" applyAlignment="1">
      <alignment horizontal="center" vertical="center"/>
    </xf>
    <xf numFmtId="10" fontId="10" fillId="5" borderId="1" xfId="2" applyNumberFormat="1" applyFont="1" applyFill="1" applyBorder="1" applyAlignment="1">
      <alignment horizontal="center" vertical="center"/>
    </xf>
    <xf numFmtId="0" fontId="6" fillId="7" borderId="27" xfId="1" applyFont="1" applyFill="1" applyBorder="1" applyAlignment="1">
      <alignment horizontal="center" vertical="center" wrapText="1"/>
    </xf>
    <xf numFmtId="0" fontId="11" fillId="11" borderId="33" xfId="1" applyFont="1" applyFill="1" applyBorder="1" applyAlignment="1">
      <alignment horizontal="center" vertical="center" wrapText="1"/>
    </xf>
    <xf numFmtId="164" fontId="1" fillId="2" borderId="17" xfId="1" applyNumberForma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165" fontId="1" fillId="0" borderId="7" xfId="1" applyNumberFormat="1" applyBorder="1" applyAlignment="1">
      <alignment horizontal="center" vertical="center"/>
    </xf>
    <xf numFmtId="165" fontId="12" fillId="0" borderId="0" xfId="2" applyNumberFormat="1" applyFont="1" applyFill="1" applyBorder="1" applyAlignment="1">
      <alignment horizontal="center" vertical="center"/>
    </xf>
    <xf numFmtId="166" fontId="12" fillId="0" borderId="37" xfId="3" applyNumberFormat="1" applyFont="1" applyFill="1" applyBorder="1" applyAlignment="1">
      <alignment horizontal="right" vertical="center"/>
    </xf>
    <xf numFmtId="166" fontId="12" fillId="0" borderId="38" xfId="3" applyNumberFormat="1" applyFont="1" applyFill="1" applyBorder="1" applyAlignment="1">
      <alignment horizontal="right" vertical="center"/>
    </xf>
    <xf numFmtId="166" fontId="12" fillId="0" borderId="7" xfId="3" applyNumberFormat="1" applyFont="1" applyFill="1" applyBorder="1" applyAlignment="1">
      <alignment horizontal="right" vertical="center"/>
    </xf>
    <xf numFmtId="166" fontId="12" fillId="0" borderId="0" xfId="3" applyNumberFormat="1" applyFont="1" applyFill="1" applyBorder="1" applyAlignment="1">
      <alignment horizontal="right" vertical="center"/>
    </xf>
    <xf numFmtId="166" fontId="12" fillId="0" borderId="1" xfId="3" applyNumberFormat="1" applyFont="1" applyFill="1" applyBorder="1" applyAlignment="1">
      <alignment horizontal="right" vertical="center"/>
    </xf>
    <xf numFmtId="164" fontId="1" fillId="0" borderId="17" xfId="1" applyNumberFormat="1" applyBorder="1" applyAlignment="1">
      <alignment horizontal="center" vertical="center"/>
    </xf>
    <xf numFmtId="165" fontId="1" fillId="0" borderId="0" xfId="1" applyNumberFormat="1" applyAlignment="1">
      <alignment horizontal="center" vertical="center"/>
    </xf>
    <xf numFmtId="166" fontId="12" fillId="0" borderId="39" xfId="3" applyNumberFormat="1" applyFont="1" applyFill="1" applyBorder="1" applyAlignment="1">
      <alignment horizontal="right" vertical="center"/>
    </xf>
    <xf numFmtId="166" fontId="12" fillId="0" borderId="40" xfId="3" applyNumberFormat="1" applyFont="1" applyFill="1" applyBorder="1" applyAlignment="1">
      <alignment horizontal="right" vertical="center"/>
    </xf>
    <xf numFmtId="166" fontId="9" fillId="5" borderId="1" xfId="3" applyNumberFormat="1" applyFont="1" applyFill="1" applyBorder="1" applyAlignment="1">
      <alignment horizontal="right" vertical="center"/>
    </xf>
    <xf numFmtId="166" fontId="9" fillId="2" borderId="0" xfId="3" applyNumberFormat="1" applyFont="1" applyFill="1" applyBorder="1" applyAlignment="1">
      <alignment horizontal="right" vertical="center"/>
    </xf>
    <xf numFmtId="165" fontId="9" fillId="5" borderId="1" xfId="1" applyNumberFormat="1" applyFont="1" applyFill="1" applyBorder="1" applyAlignment="1">
      <alignment horizontal="right" vertical="center"/>
    </xf>
    <xf numFmtId="165" fontId="9" fillId="2" borderId="0" xfId="1" applyNumberFormat="1" applyFont="1" applyFill="1" applyAlignment="1">
      <alignment horizontal="right" vertical="center"/>
    </xf>
    <xf numFmtId="0" fontId="5" fillId="8" borderId="8" xfId="1" applyFont="1" applyFill="1" applyBorder="1" applyAlignment="1">
      <alignment vertical="center"/>
    </xf>
    <xf numFmtId="165" fontId="9" fillId="5" borderId="9" xfId="1" applyNumberFormat="1" applyFont="1" applyFill="1" applyBorder="1" applyAlignment="1">
      <alignment horizontal="right" vertical="center"/>
    </xf>
    <xf numFmtId="0" fontId="10" fillId="5" borderId="6" xfId="2" applyNumberFormat="1" applyFont="1" applyFill="1" applyBorder="1" applyAlignment="1">
      <alignment horizontal="right" vertical="center"/>
    </xf>
    <xf numFmtId="0" fontId="10" fillId="5" borderId="1" xfId="2" applyNumberFormat="1" applyFont="1" applyFill="1" applyBorder="1" applyAlignment="1">
      <alignment horizontal="right" vertical="center"/>
    </xf>
    <xf numFmtId="166" fontId="10" fillId="5" borderId="1" xfId="3" applyNumberFormat="1" applyFont="1" applyFill="1" applyBorder="1" applyAlignment="1">
      <alignment horizontal="right" vertical="center"/>
    </xf>
    <xf numFmtId="165" fontId="10" fillId="5" borderId="1" xfId="2" applyNumberFormat="1" applyFont="1" applyFill="1" applyBorder="1" applyAlignment="1">
      <alignment horizontal="right" vertical="center"/>
    </xf>
    <xf numFmtId="165" fontId="10" fillId="5" borderId="9" xfId="2" applyNumberFormat="1" applyFont="1" applyFill="1" applyBorder="1" applyAlignment="1">
      <alignment horizontal="right" vertical="center"/>
    </xf>
    <xf numFmtId="0" fontId="10" fillId="8" borderId="8" xfId="1" applyFont="1" applyFill="1" applyBorder="1" applyAlignment="1">
      <alignment vertical="center"/>
    </xf>
    <xf numFmtId="10" fontId="10" fillId="5" borderId="10" xfId="2" applyNumberFormat="1" applyFont="1" applyFill="1" applyBorder="1" applyAlignment="1">
      <alignment horizontal="center" vertical="center"/>
    </xf>
    <xf numFmtId="10" fontId="10" fillId="5" borderId="9" xfId="2" applyNumberFormat="1" applyFont="1" applyFill="1" applyBorder="1" applyAlignment="1">
      <alignment horizontal="center" vertical="center"/>
    </xf>
    <xf numFmtId="0" fontId="9" fillId="5" borderId="0" xfId="1" applyFont="1" applyFill="1" applyAlignment="1">
      <alignment vertical="center"/>
    </xf>
    <xf numFmtId="9" fontId="9" fillId="5" borderId="0" xfId="2" applyFont="1" applyFill="1" applyBorder="1" applyAlignment="1">
      <alignment horizontal="center" vertical="center"/>
    </xf>
    <xf numFmtId="0" fontId="1" fillId="5" borderId="0" xfId="1" applyFill="1" applyAlignment="1">
      <alignment vertical="center"/>
    </xf>
    <xf numFmtId="0" fontId="1" fillId="5" borderId="17" xfId="1" applyFill="1" applyBorder="1" applyAlignment="1">
      <alignment vertical="center"/>
    </xf>
    <xf numFmtId="0" fontId="1" fillId="5" borderId="39" xfId="1" applyFill="1" applyBorder="1" applyAlignment="1">
      <alignment vertical="center"/>
    </xf>
    <xf numFmtId="0" fontId="1" fillId="5" borderId="41" xfId="1" applyFill="1" applyBorder="1" applyAlignment="1">
      <alignment vertical="center"/>
    </xf>
    <xf numFmtId="0" fontId="1" fillId="5" borderId="10" xfId="1" applyFill="1" applyBorder="1" applyAlignment="1">
      <alignment vertical="center"/>
    </xf>
    <xf numFmtId="0" fontId="1" fillId="5" borderId="42" xfId="1" applyFill="1" applyBorder="1" applyAlignment="1">
      <alignment vertical="center"/>
    </xf>
    <xf numFmtId="0" fontId="1" fillId="5" borderId="9" xfId="1" applyFill="1" applyBorder="1" applyAlignment="1">
      <alignment vertical="center"/>
    </xf>
    <xf numFmtId="0" fontId="4" fillId="12" borderId="7" xfId="1" applyFont="1" applyFill="1" applyBorder="1" applyAlignment="1">
      <alignment horizontal="center" vertical="center"/>
    </xf>
    <xf numFmtId="0" fontId="1" fillId="12" borderId="7" xfId="1" applyFill="1" applyBorder="1" applyAlignment="1">
      <alignment vertical="center"/>
    </xf>
    <xf numFmtId="0" fontId="4" fillId="12" borderId="10" xfId="1" applyFont="1" applyFill="1" applyBorder="1" applyAlignment="1">
      <alignment horizontal="center" vertical="center"/>
    </xf>
    <xf numFmtId="0" fontId="1" fillId="12" borderId="10" xfId="1" applyFill="1" applyBorder="1" applyAlignment="1">
      <alignment vertical="center"/>
    </xf>
    <xf numFmtId="10" fontId="0" fillId="0" borderId="0" xfId="2" applyNumberFormat="1" applyFont="1" applyAlignment="1">
      <alignment vertical="center"/>
    </xf>
    <xf numFmtId="167" fontId="0" fillId="0" borderId="0" xfId="2" applyNumberFormat="1" applyFont="1" applyAlignment="1">
      <alignment vertical="center"/>
    </xf>
    <xf numFmtId="10" fontId="1" fillId="0" borderId="0" xfId="1" applyNumberFormat="1" applyAlignment="1">
      <alignment vertical="center"/>
    </xf>
    <xf numFmtId="43" fontId="1" fillId="0" borderId="0" xfId="1" applyNumberFormat="1" applyAlignment="1">
      <alignment vertical="center"/>
    </xf>
    <xf numFmtId="168" fontId="1" fillId="0" borderId="0" xfId="1" applyNumberFormat="1" applyAlignment="1">
      <alignment vertical="center"/>
    </xf>
    <xf numFmtId="169" fontId="0" fillId="0" borderId="0" xfId="3" applyNumberFormat="1" applyFont="1" applyAlignment="1">
      <alignment vertical="center"/>
    </xf>
    <xf numFmtId="0" fontId="14" fillId="11" borderId="43" xfId="1" applyFont="1" applyFill="1" applyBorder="1" applyAlignment="1">
      <alignment vertical="center"/>
    </xf>
    <xf numFmtId="0" fontId="14" fillId="11" borderId="44" xfId="1" applyFont="1" applyFill="1" applyBorder="1" applyAlignment="1">
      <alignment vertical="center"/>
    </xf>
    <xf numFmtId="0" fontId="6" fillId="15" borderId="53" xfId="1" applyFont="1" applyFill="1" applyBorder="1" applyAlignment="1">
      <alignment horizontal="center" vertical="center" wrapText="1"/>
    </xf>
    <xf numFmtId="0" fontId="17" fillId="3" borderId="5" xfId="1" applyFont="1" applyFill="1" applyBorder="1" applyAlignment="1">
      <alignment vertical="center" wrapText="1"/>
    </xf>
    <xf numFmtId="0" fontId="17" fillId="3" borderId="6" xfId="1" applyFont="1" applyFill="1" applyBorder="1" applyAlignment="1">
      <alignment vertical="center" wrapText="1"/>
    </xf>
    <xf numFmtId="0" fontId="13" fillId="16" borderId="57" xfId="1" applyFont="1" applyFill="1" applyBorder="1" applyAlignment="1">
      <alignment horizontal="center" vertical="center"/>
    </xf>
    <xf numFmtId="0" fontId="13" fillId="16" borderId="20" xfId="1" applyFont="1" applyFill="1" applyBorder="1" applyAlignment="1">
      <alignment horizontal="center" vertical="center"/>
    </xf>
    <xf numFmtId="0" fontId="13" fillId="17" borderId="20" xfId="1" applyFont="1" applyFill="1" applyBorder="1" applyAlignment="1">
      <alignment horizontal="center" vertical="center"/>
    </xf>
    <xf numFmtId="0" fontId="13" fillId="11" borderId="20" xfId="1" applyFont="1" applyFill="1" applyBorder="1" applyAlignment="1">
      <alignment horizontal="center" vertical="center"/>
    </xf>
    <xf numFmtId="0" fontId="13" fillId="18" borderId="20" xfId="1" applyFont="1" applyFill="1" applyBorder="1" applyAlignment="1">
      <alignment horizontal="center" vertical="center"/>
    </xf>
    <xf numFmtId="0" fontId="13" fillId="6" borderId="20" xfId="1" applyFont="1" applyFill="1" applyBorder="1" applyAlignment="1">
      <alignment horizontal="center" vertical="center"/>
    </xf>
    <xf numFmtId="0" fontId="13" fillId="19" borderId="20" xfId="1" applyFont="1" applyFill="1" applyBorder="1" applyAlignment="1">
      <alignment horizontal="center" vertical="center"/>
    </xf>
    <xf numFmtId="0" fontId="13" fillId="17" borderId="24" xfId="1" applyFont="1" applyFill="1" applyBorder="1" applyAlignment="1">
      <alignment horizontal="center" vertical="center"/>
    </xf>
    <xf numFmtId="0" fontId="13" fillId="18" borderId="54" xfId="1" applyFont="1" applyFill="1" applyBorder="1" applyAlignment="1">
      <alignment horizontal="center" vertical="center"/>
    </xf>
    <xf numFmtId="0" fontId="13" fillId="17" borderId="28" xfId="1" applyFont="1" applyFill="1" applyBorder="1" applyAlignment="1">
      <alignment horizontal="center" vertical="center"/>
    </xf>
    <xf numFmtId="0" fontId="13" fillId="17" borderId="58" xfId="1" applyFont="1" applyFill="1" applyBorder="1" applyAlignment="1">
      <alignment horizontal="center" vertical="center"/>
    </xf>
    <xf numFmtId="0" fontId="13" fillId="8" borderId="28" xfId="1" applyFont="1" applyFill="1" applyBorder="1" applyAlignment="1">
      <alignment horizontal="center" vertical="center"/>
    </xf>
    <xf numFmtId="0" fontId="13" fillId="8" borderId="20" xfId="1" applyFont="1" applyFill="1" applyBorder="1" applyAlignment="1">
      <alignment horizontal="center" vertical="center"/>
    </xf>
    <xf numFmtId="0" fontId="13" fillId="8" borderId="24" xfId="1" applyFont="1" applyFill="1" applyBorder="1" applyAlignment="1">
      <alignment horizontal="center" vertical="center"/>
    </xf>
    <xf numFmtId="10" fontId="10" fillId="0" borderId="0" xfId="2" applyNumberFormat="1" applyFont="1" applyBorder="1" applyAlignment="1">
      <alignment horizontal="center" vertical="center"/>
    </xf>
    <xf numFmtId="0" fontId="17" fillId="3" borderId="8" xfId="1" applyFont="1" applyFill="1" applyBorder="1" applyAlignment="1">
      <alignment vertical="center" wrapText="1"/>
    </xf>
    <xf numFmtId="0" fontId="1" fillId="3" borderId="9" xfId="1" applyFill="1" applyBorder="1" applyAlignment="1">
      <alignment vertical="center"/>
    </xf>
    <xf numFmtId="0" fontId="13" fillId="16" borderId="59" xfId="1" applyFont="1" applyFill="1" applyBorder="1" applyAlignment="1">
      <alignment horizontal="center" vertical="center"/>
    </xf>
    <xf numFmtId="0" fontId="13" fillId="16" borderId="60" xfId="1" applyFont="1" applyFill="1" applyBorder="1" applyAlignment="1">
      <alignment horizontal="center" vertical="center" wrapText="1"/>
    </xf>
    <xf numFmtId="0" fontId="13" fillId="17" borderId="60" xfId="1" applyFont="1" applyFill="1" applyBorder="1" applyAlignment="1">
      <alignment horizontal="center" vertical="center" wrapText="1"/>
    </xf>
    <xf numFmtId="0" fontId="13" fillId="11" borderId="60" xfId="1" applyFont="1" applyFill="1" applyBorder="1" applyAlignment="1">
      <alignment horizontal="center" vertical="center" wrapText="1"/>
    </xf>
    <xf numFmtId="0" fontId="13" fillId="18" borderId="60" xfId="1" applyFont="1" applyFill="1" applyBorder="1" applyAlignment="1">
      <alignment horizontal="center" vertical="center" wrapText="1"/>
    </xf>
    <xf numFmtId="0" fontId="13" fillId="6" borderId="60" xfId="1" applyFont="1" applyFill="1" applyBorder="1" applyAlignment="1">
      <alignment horizontal="center" vertical="center" wrapText="1"/>
    </xf>
    <xf numFmtId="0" fontId="13" fillId="19" borderId="60" xfId="1" applyFont="1" applyFill="1" applyBorder="1" applyAlignment="1">
      <alignment horizontal="center" vertical="center" wrapText="1"/>
    </xf>
    <xf numFmtId="0" fontId="13" fillId="17" borderId="24" xfId="1" applyFont="1" applyFill="1" applyBorder="1" applyAlignment="1">
      <alignment horizontal="center" vertical="center" wrapText="1"/>
    </xf>
    <xf numFmtId="0" fontId="13" fillId="18" borderId="54" xfId="1" applyFont="1" applyFill="1" applyBorder="1" applyAlignment="1">
      <alignment horizontal="center" vertical="center" wrapText="1"/>
    </xf>
    <xf numFmtId="0" fontId="13" fillId="17" borderId="28" xfId="1" applyFont="1" applyFill="1" applyBorder="1" applyAlignment="1">
      <alignment horizontal="center" vertical="center" wrapText="1"/>
    </xf>
    <xf numFmtId="0" fontId="13" fillId="17" borderId="61" xfId="1" applyFont="1" applyFill="1" applyBorder="1" applyAlignment="1">
      <alignment horizontal="center" vertical="center" wrapText="1"/>
    </xf>
    <xf numFmtId="0" fontId="13" fillId="8" borderId="28" xfId="1" applyFont="1" applyFill="1" applyBorder="1" applyAlignment="1">
      <alignment horizontal="center" vertical="center" wrapText="1"/>
    </xf>
    <xf numFmtId="0" fontId="13" fillId="8" borderId="20" xfId="1" applyFont="1" applyFill="1" applyBorder="1" applyAlignment="1">
      <alignment horizontal="center" vertical="center" wrapText="1"/>
    </xf>
    <xf numFmtId="0" fontId="13" fillId="8" borderId="24" xfId="1" applyFont="1" applyFill="1" applyBorder="1" applyAlignment="1">
      <alignment horizontal="center" vertical="center" wrapText="1"/>
    </xf>
    <xf numFmtId="0" fontId="7" fillId="9" borderId="62" xfId="1" applyFont="1" applyFill="1" applyBorder="1" applyAlignment="1">
      <alignment horizontal="center" vertical="center" wrapText="1"/>
    </xf>
    <xf numFmtId="0" fontId="20" fillId="3" borderId="20" xfId="1" applyFont="1" applyFill="1" applyBorder="1" applyAlignment="1">
      <alignment horizontal="center" vertical="center" wrapText="1"/>
    </xf>
    <xf numFmtId="0" fontId="20" fillId="3" borderId="60" xfId="1" applyFont="1" applyFill="1" applyBorder="1" applyAlignment="1">
      <alignment horizontal="center" vertical="center" wrapText="1"/>
    </xf>
    <xf numFmtId="165" fontId="20" fillId="3" borderId="20" xfId="1" applyNumberFormat="1" applyFont="1" applyFill="1" applyBorder="1" applyAlignment="1">
      <alignment horizontal="center" vertical="center" wrapText="1"/>
    </xf>
    <xf numFmtId="165" fontId="20" fillId="3" borderId="26" xfId="1" applyNumberFormat="1" applyFont="1" applyFill="1" applyBorder="1" applyAlignment="1">
      <alignment horizontal="center" vertical="center" wrapText="1"/>
    </xf>
    <xf numFmtId="0" fontId="21" fillId="5" borderId="0" xfId="1" applyFont="1" applyFill="1" applyAlignment="1">
      <alignment horizontal="left" vertical="center" indent="1"/>
    </xf>
    <xf numFmtId="0" fontId="6" fillId="15" borderId="20" xfId="1" applyFont="1" applyFill="1" applyBorder="1" applyAlignment="1">
      <alignment horizontal="center" vertical="center" wrapText="1"/>
    </xf>
    <xf numFmtId="165" fontId="11" fillId="11" borderId="20" xfId="1" applyNumberFormat="1" applyFont="1" applyFill="1" applyBorder="1" applyAlignment="1">
      <alignment horizontal="center" vertical="center" wrapText="1"/>
    </xf>
    <xf numFmtId="0" fontId="1" fillId="5" borderId="5" xfId="1" applyFill="1" applyBorder="1" applyAlignment="1">
      <alignment horizontal="center" vertical="center"/>
    </xf>
    <xf numFmtId="14" fontId="1" fillId="5" borderId="7" xfId="1" applyNumberFormat="1" applyFill="1" applyBorder="1" applyAlignment="1">
      <alignment horizontal="center" vertical="center"/>
    </xf>
    <xf numFmtId="0" fontId="0" fillId="5" borderId="7" xfId="3" applyNumberFormat="1" applyFont="1" applyFill="1" applyBorder="1" applyAlignment="1">
      <alignment horizontal="center" vertical="center"/>
    </xf>
    <xf numFmtId="165" fontId="12" fillId="5" borderId="7" xfId="2" applyNumberFormat="1" applyFont="1" applyFill="1" applyBorder="1" applyAlignment="1">
      <alignment horizontal="right" vertical="center"/>
    </xf>
    <xf numFmtId="166" fontId="1" fillId="5" borderId="7" xfId="1" applyNumberFormat="1" applyFill="1" applyBorder="1" applyAlignment="1">
      <alignment vertical="center"/>
    </xf>
    <xf numFmtId="166" fontId="12" fillId="5" borderId="7" xfId="3" applyNumberFormat="1" applyFont="1" applyFill="1" applyBorder="1" applyAlignment="1">
      <alignment horizontal="right" vertical="center"/>
    </xf>
    <xf numFmtId="166" fontId="12" fillId="5" borderId="5" xfId="3" applyNumberFormat="1" applyFont="1" applyFill="1" applyBorder="1" applyAlignment="1">
      <alignment horizontal="right" vertical="center"/>
    </xf>
    <xf numFmtId="166" fontId="10" fillId="5" borderId="7" xfId="3" applyNumberFormat="1" applyFont="1" applyFill="1" applyBorder="1" applyAlignment="1">
      <alignment horizontal="center" vertical="center"/>
    </xf>
    <xf numFmtId="166" fontId="12" fillId="5" borderId="6" xfId="3" applyNumberFormat="1" applyFont="1" applyFill="1" applyBorder="1" applyAlignment="1">
      <alignment horizontal="right" vertical="center"/>
    </xf>
    <xf numFmtId="166" fontId="12" fillId="5" borderId="38" xfId="3" applyNumberFormat="1" applyFont="1" applyFill="1" applyBorder="1" applyAlignment="1">
      <alignment horizontal="right" vertical="center"/>
    </xf>
    <xf numFmtId="0" fontId="16" fillId="7" borderId="5" xfId="1" applyFont="1" applyFill="1" applyBorder="1" applyAlignment="1">
      <alignment vertical="center"/>
    </xf>
    <xf numFmtId="0" fontId="25" fillId="23" borderId="6" xfId="1" applyFont="1" applyFill="1" applyBorder="1" applyAlignment="1">
      <alignment horizontal="right" vertical="center"/>
    </xf>
    <xf numFmtId="0" fontId="1" fillId="0" borderId="17" xfId="1" applyBorder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165" fontId="12" fillId="0" borderId="0" xfId="2" applyNumberFormat="1" applyFont="1" applyFill="1" applyBorder="1" applyAlignment="1">
      <alignment horizontal="right" vertical="center"/>
    </xf>
    <xf numFmtId="166" fontId="1" fillId="0" borderId="0" xfId="1" applyNumberFormat="1" applyAlignment="1">
      <alignment vertical="center"/>
    </xf>
    <xf numFmtId="166" fontId="12" fillId="0" borderId="17" xfId="3" applyNumberFormat="1" applyFont="1" applyFill="1" applyBorder="1" applyAlignment="1">
      <alignment horizontal="right" vertical="center"/>
    </xf>
    <xf numFmtId="166" fontId="12" fillId="5" borderId="0" xfId="3" applyNumberFormat="1" applyFont="1" applyFill="1" applyBorder="1" applyAlignment="1">
      <alignment horizontal="right" vertical="center"/>
    </xf>
    <xf numFmtId="166" fontId="10" fillId="5" borderId="0" xfId="3" applyNumberFormat="1" applyFont="1" applyFill="1" applyBorder="1" applyAlignment="1">
      <alignment horizontal="center" vertical="center"/>
    </xf>
    <xf numFmtId="0" fontId="4" fillId="11" borderId="17" xfId="1" applyFont="1" applyFill="1" applyBorder="1" applyAlignment="1">
      <alignment horizontal="left" vertical="center" indent="1"/>
    </xf>
    <xf numFmtId="0" fontId="4" fillId="11" borderId="1" xfId="1" applyFont="1" applyFill="1" applyBorder="1" applyAlignment="1">
      <alignment horizontal="right" vertical="center" indent="1"/>
    </xf>
    <xf numFmtId="166" fontId="26" fillId="5" borderId="0" xfId="3" applyNumberFormat="1" applyFont="1" applyFill="1" applyBorder="1" applyAlignment="1">
      <alignment horizontal="center" vertical="center"/>
    </xf>
    <xf numFmtId="0" fontId="16" fillId="7" borderId="17" xfId="1" applyFont="1" applyFill="1" applyBorder="1" applyAlignment="1">
      <alignment horizontal="left" vertical="center"/>
    </xf>
    <xf numFmtId="0" fontId="25" fillId="23" borderId="1" xfId="1" applyFont="1" applyFill="1" applyBorder="1" applyAlignment="1">
      <alignment horizontal="right" vertical="center"/>
    </xf>
    <xf numFmtId="166" fontId="25" fillId="23" borderId="1" xfId="3" applyNumberFormat="1" applyFont="1" applyFill="1" applyBorder="1" applyAlignment="1">
      <alignment horizontal="center" vertical="center"/>
    </xf>
    <xf numFmtId="166" fontId="28" fillId="23" borderId="1" xfId="3" applyNumberFormat="1" applyFont="1" applyFill="1" applyBorder="1" applyAlignment="1">
      <alignment horizontal="center" vertical="center"/>
    </xf>
    <xf numFmtId="0" fontId="27" fillId="7" borderId="17" xfId="1" applyFont="1" applyFill="1" applyBorder="1" applyAlignment="1">
      <alignment horizontal="left" vertical="center" indent="1"/>
    </xf>
    <xf numFmtId="0" fontId="29" fillId="23" borderId="1" xfId="1" applyFont="1" applyFill="1" applyBorder="1" applyAlignment="1">
      <alignment horizontal="right" vertical="center"/>
    </xf>
    <xf numFmtId="0" fontId="27" fillId="7" borderId="8" xfId="1" applyFont="1" applyFill="1" applyBorder="1" applyAlignment="1">
      <alignment horizontal="left" vertical="center" indent="1"/>
    </xf>
    <xf numFmtId="10" fontId="30" fillId="23" borderId="9" xfId="2" applyNumberFormat="1" applyFont="1" applyFill="1" applyBorder="1" applyAlignment="1">
      <alignment horizontal="right" vertical="center"/>
    </xf>
    <xf numFmtId="0" fontId="26" fillId="5" borderId="0" xfId="1" applyFont="1" applyFill="1" applyAlignment="1">
      <alignment vertical="center"/>
    </xf>
    <xf numFmtId="0" fontId="26" fillId="5" borderId="0" xfId="1" applyFont="1" applyFill="1" applyAlignment="1">
      <alignment horizontal="left" vertical="center" indent="1"/>
    </xf>
    <xf numFmtId="0" fontId="6" fillId="15" borderId="5" xfId="1" applyFont="1" applyFill="1" applyBorder="1" applyAlignment="1">
      <alignment vertical="center"/>
    </xf>
    <xf numFmtId="0" fontId="31" fillId="24" borderId="6" xfId="1" applyFont="1" applyFill="1" applyBorder="1" applyAlignment="1">
      <alignment horizontal="right" vertical="center"/>
    </xf>
    <xf numFmtId="0" fontId="6" fillId="15" borderId="17" xfId="1" applyFont="1" applyFill="1" applyBorder="1" applyAlignment="1">
      <alignment vertical="center"/>
    </xf>
    <xf numFmtId="0" fontId="31" fillId="24" borderId="1" xfId="1" applyFont="1" applyFill="1" applyBorder="1" applyAlignment="1">
      <alignment horizontal="right" vertical="center"/>
    </xf>
    <xf numFmtId="0" fontId="31" fillId="24" borderId="1" xfId="1" applyFont="1" applyFill="1" applyBorder="1" applyAlignment="1">
      <alignment vertical="center"/>
    </xf>
    <xf numFmtId="0" fontId="5" fillId="24" borderId="1" xfId="1" applyFont="1" applyFill="1" applyBorder="1" applyAlignment="1">
      <alignment horizontal="right" vertical="center"/>
    </xf>
    <xf numFmtId="0" fontId="6" fillId="15" borderId="8" xfId="1" applyFont="1" applyFill="1" applyBorder="1" applyAlignment="1">
      <alignment vertical="center"/>
    </xf>
    <xf numFmtId="0" fontId="31" fillId="24" borderId="9" xfId="1" applyFont="1" applyFill="1" applyBorder="1" applyAlignment="1">
      <alignment horizontal="right" vertical="center"/>
    </xf>
    <xf numFmtId="166" fontId="5" fillId="24" borderId="1" xfId="3" applyNumberFormat="1" applyFont="1" applyFill="1" applyBorder="1" applyAlignment="1">
      <alignment vertical="center"/>
    </xf>
    <xf numFmtId="166" fontId="5" fillId="24" borderId="9" xfId="3" applyNumberFormat="1" applyFont="1" applyFill="1" applyBorder="1" applyAlignment="1">
      <alignment horizontal="right" vertical="center"/>
    </xf>
    <xf numFmtId="166" fontId="31" fillId="24" borderId="6" xfId="3" applyNumberFormat="1" applyFont="1" applyFill="1" applyBorder="1" applyAlignment="1">
      <alignment horizontal="right" vertical="center"/>
    </xf>
    <xf numFmtId="166" fontId="33" fillId="24" borderId="1" xfId="3" applyNumberFormat="1" applyFont="1" applyFill="1" applyBorder="1" applyAlignment="1">
      <alignment horizontal="right" vertical="center"/>
    </xf>
    <xf numFmtId="10" fontId="33" fillId="24" borderId="1" xfId="2" applyNumberFormat="1" applyFont="1" applyFill="1" applyBorder="1" applyAlignment="1">
      <alignment horizontal="right" vertical="center"/>
    </xf>
    <xf numFmtId="166" fontId="33" fillId="24" borderId="9" xfId="3" applyNumberFormat="1" applyFont="1" applyFill="1" applyBorder="1" applyAlignment="1">
      <alignment horizontal="right" vertical="center"/>
    </xf>
    <xf numFmtId="14" fontId="33" fillId="24" borderId="6" xfId="1" applyNumberFormat="1" applyFont="1" applyFill="1" applyBorder="1" applyAlignment="1">
      <alignment vertical="center"/>
    </xf>
    <xf numFmtId="166" fontId="33" fillId="24" borderId="1" xfId="3" applyNumberFormat="1" applyFont="1" applyFill="1" applyBorder="1" applyAlignment="1">
      <alignment vertical="center"/>
    </xf>
    <xf numFmtId="14" fontId="31" fillId="24" borderId="1" xfId="3" applyNumberFormat="1" applyFont="1" applyFill="1" applyBorder="1" applyAlignment="1">
      <alignment vertical="center"/>
    </xf>
    <xf numFmtId="14" fontId="33" fillId="24" borderId="9" xfId="3" applyNumberFormat="1" applyFont="1" applyFill="1" applyBorder="1" applyAlignment="1">
      <alignment vertical="center"/>
    </xf>
    <xf numFmtId="0" fontId="1" fillId="5" borderId="17" xfId="1" applyFill="1" applyBorder="1" applyAlignment="1">
      <alignment horizontal="center" vertical="center"/>
    </xf>
    <xf numFmtId="14" fontId="1" fillId="5" borderId="0" xfId="1" applyNumberFormat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165" fontId="12" fillId="5" borderId="0" xfId="2" applyNumberFormat="1" applyFont="1" applyFill="1" applyBorder="1" applyAlignment="1">
      <alignment horizontal="right" vertical="center"/>
    </xf>
    <xf numFmtId="166" fontId="1" fillId="5" borderId="0" xfId="1" applyNumberFormat="1" applyFill="1" applyAlignment="1">
      <alignment vertical="center"/>
    </xf>
    <xf numFmtId="166" fontId="12" fillId="5" borderId="17" xfId="3" applyNumberFormat="1" applyFont="1" applyFill="1" applyBorder="1" applyAlignment="1">
      <alignment horizontal="right" vertical="center"/>
    </xf>
    <xf numFmtId="166" fontId="12" fillId="5" borderId="1" xfId="3" applyNumberFormat="1" applyFont="1" applyFill="1" applyBorder="1" applyAlignment="1">
      <alignment horizontal="right" vertical="center"/>
    </xf>
    <xf numFmtId="166" fontId="12" fillId="5" borderId="40" xfId="3" applyNumberFormat="1" applyFont="1" applyFill="1" applyBorder="1" applyAlignment="1">
      <alignment horizontal="right" vertical="center"/>
    </xf>
    <xf numFmtId="10" fontId="33" fillId="24" borderId="6" xfId="1" applyNumberFormat="1" applyFont="1" applyFill="1" applyBorder="1" applyAlignment="1">
      <alignment vertical="center"/>
    </xf>
    <xf numFmtId="165" fontId="4" fillId="25" borderId="7" xfId="2" applyNumberFormat="1" applyFont="1" applyFill="1" applyBorder="1" applyAlignment="1">
      <alignment horizontal="right" vertical="center"/>
    </xf>
    <xf numFmtId="165" fontId="4" fillId="25" borderId="6" xfId="2" applyNumberFormat="1" applyFont="1" applyFill="1" applyBorder="1" applyAlignment="1">
      <alignment horizontal="right" vertical="center"/>
    </xf>
    <xf numFmtId="166" fontId="13" fillId="24" borderId="37" xfId="3" applyNumberFormat="1" applyFont="1" applyFill="1" applyBorder="1" applyAlignment="1">
      <alignment horizontal="center" vertical="center"/>
    </xf>
    <xf numFmtId="10" fontId="31" fillId="24" borderId="9" xfId="1" applyNumberFormat="1" applyFont="1" applyFill="1" applyBorder="1" applyAlignment="1">
      <alignment vertical="center"/>
    </xf>
    <xf numFmtId="165" fontId="4" fillId="25" borderId="10" xfId="2" applyNumberFormat="1" applyFont="1" applyFill="1" applyBorder="1" applyAlignment="1">
      <alignment horizontal="right" vertical="center"/>
    </xf>
    <xf numFmtId="165" fontId="4" fillId="25" borderId="9" xfId="2" applyNumberFormat="1" applyFont="1" applyFill="1" applyBorder="1" applyAlignment="1">
      <alignment horizontal="right" vertical="center"/>
    </xf>
    <xf numFmtId="166" fontId="13" fillId="24" borderId="42" xfId="3" applyNumberFormat="1" applyFont="1" applyFill="1" applyBorder="1" applyAlignment="1">
      <alignment horizontal="center" vertical="center"/>
    </xf>
    <xf numFmtId="10" fontId="31" fillId="24" borderId="6" xfId="2" applyNumberFormat="1" applyFont="1" applyFill="1" applyBorder="1" applyAlignment="1">
      <alignment horizontal="right" vertical="center"/>
    </xf>
    <xf numFmtId="170" fontId="0" fillId="0" borderId="0" xfId="2" applyNumberFormat="1" applyFont="1" applyAlignment="1">
      <alignment vertical="center"/>
    </xf>
    <xf numFmtId="10" fontId="31" fillId="24" borderId="9" xfId="2" applyNumberFormat="1" applyFont="1" applyFill="1" applyBorder="1" applyAlignment="1">
      <alignment horizontal="right" vertical="center"/>
    </xf>
    <xf numFmtId="0" fontId="6" fillId="15" borderId="17" xfId="1" applyFont="1" applyFill="1" applyBorder="1" applyAlignment="1">
      <alignment horizontal="left" vertical="center"/>
    </xf>
    <xf numFmtId="0" fontId="6" fillId="15" borderId="0" xfId="1" applyFont="1" applyFill="1" applyAlignment="1">
      <alignment horizontal="left" vertical="center"/>
    </xf>
    <xf numFmtId="0" fontId="31" fillId="24" borderId="1" xfId="2" applyNumberFormat="1" applyFont="1" applyFill="1" applyBorder="1" applyAlignment="1">
      <alignment horizontal="right" vertical="center"/>
    </xf>
    <xf numFmtId="0" fontId="1" fillId="5" borderId="7" xfId="1" applyFill="1" applyBorder="1" applyAlignment="1">
      <alignment vertical="center"/>
    </xf>
    <xf numFmtId="0" fontId="1" fillId="5" borderId="6" xfId="1" applyFill="1" applyBorder="1" applyAlignment="1">
      <alignment vertical="center"/>
    </xf>
    <xf numFmtId="0" fontId="31" fillId="24" borderId="1" xfId="3" applyNumberFormat="1" applyFont="1" applyFill="1" applyBorder="1" applyAlignment="1">
      <alignment horizontal="right" vertical="center"/>
    </xf>
    <xf numFmtId="0" fontId="1" fillId="5" borderId="1" xfId="1" applyFill="1" applyBorder="1" applyAlignment="1">
      <alignment vertical="center"/>
    </xf>
    <xf numFmtId="10" fontId="31" fillId="24" borderId="6" xfId="1" applyNumberFormat="1" applyFont="1" applyFill="1" applyBorder="1" applyAlignment="1">
      <alignment horizontal="right" vertical="center"/>
    </xf>
    <xf numFmtId="0" fontId="6" fillId="15" borderId="70" xfId="1" applyFont="1" applyFill="1" applyBorder="1" applyAlignment="1">
      <alignment horizontal="left" vertical="center"/>
    </xf>
    <xf numFmtId="0" fontId="6" fillId="15" borderId="65" xfId="1" applyFont="1" applyFill="1" applyBorder="1" applyAlignment="1">
      <alignment horizontal="left" vertical="center"/>
    </xf>
    <xf numFmtId="0" fontId="5" fillId="24" borderId="6" xfId="1" applyFont="1" applyFill="1" applyBorder="1" applyAlignment="1">
      <alignment horizontal="right" vertical="center"/>
    </xf>
    <xf numFmtId="0" fontId="34" fillId="15" borderId="70" xfId="1" applyFont="1" applyFill="1" applyBorder="1" applyAlignment="1">
      <alignment vertical="center"/>
    </xf>
    <xf numFmtId="0" fontId="34" fillId="15" borderId="65" xfId="1" applyFont="1" applyFill="1" applyBorder="1" applyAlignment="1">
      <alignment vertical="center"/>
    </xf>
    <xf numFmtId="167" fontId="10" fillId="24" borderId="6" xfId="2" applyNumberFormat="1" applyFont="1" applyFill="1" applyBorder="1" applyAlignment="1">
      <alignment horizontal="right" vertical="center"/>
    </xf>
    <xf numFmtId="10" fontId="33" fillId="24" borderId="1" xfId="2" applyNumberFormat="1" applyFont="1" applyFill="1" applyBorder="1" applyAlignment="1">
      <alignment vertical="center"/>
    </xf>
    <xf numFmtId="0" fontId="34" fillId="15" borderId="17" xfId="1" applyFont="1" applyFill="1" applyBorder="1" applyAlignment="1">
      <alignment vertical="center"/>
    </xf>
    <xf numFmtId="0" fontId="34" fillId="15" borderId="0" xfId="1" applyFont="1" applyFill="1" applyAlignment="1">
      <alignment vertical="center"/>
    </xf>
    <xf numFmtId="167" fontId="10" fillId="24" borderId="1" xfId="2" applyNumberFormat="1" applyFont="1" applyFill="1" applyBorder="1" applyAlignment="1">
      <alignment horizontal="right" vertical="center"/>
    </xf>
    <xf numFmtId="10" fontId="33" fillId="24" borderId="1" xfId="1" applyNumberFormat="1" applyFont="1" applyFill="1" applyBorder="1" applyAlignment="1">
      <alignment vertical="center"/>
    </xf>
    <xf numFmtId="9" fontId="31" fillId="24" borderId="1" xfId="2" applyFont="1" applyFill="1" applyBorder="1" applyAlignment="1">
      <alignment vertical="center"/>
    </xf>
    <xf numFmtId="166" fontId="31" fillId="24" borderId="1" xfId="3" applyNumberFormat="1" applyFont="1" applyFill="1" applyBorder="1" applyAlignment="1">
      <alignment vertical="center"/>
    </xf>
    <xf numFmtId="171" fontId="10" fillId="24" borderId="1" xfId="3" applyNumberFormat="1" applyFont="1" applyFill="1" applyBorder="1" applyAlignment="1">
      <alignment horizontal="right" vertical="center"/>
    </xf>
    <xf numFmtId="166" fontId="33" fillId="24" borderId="9" xfId="3" applyNumberFormat="1" applyFont="1" applyFill="1" applyBorder="1" applyAlignment="1">
      <alignment vertical="center"/>
    </xf>
    <xf numFmtId="0" fontId="7" fillId="15" borderId="70" xfId="1" applyFont="1" applyFill="1" applyBorder="1" applyAlignment="1">
      <alignment vertical="center"/>
    </xf>
    <xf numFmtId="0" fontId="6" fillId="15" borderId="65" xfId="1" applyFont="1" applyFill="1" applyBorder="1" applyAlignment="1">
      <alignment vertical="center"/>
    </xf>
    <xf numFmtId="43" fontId="4" fillId="24" borderId="44" xfId="3" applyFont="1" applyFill="1" applyBorder="1" applyAlignment="1">
      <alignment horizontal="right" vertical="center"/>
    </xf>
    <xf numFmtId="0" fontId="6" fillId="15" borderId="70" xfId="1" applyFont="1" applyFill="1" applyBorder="1" applyAlignment="1">
      <alignment vertical="center"/>
    </xf>
    <xf numFmtId="166" fontId="14" fillId="24" borderId="1" xfId="3" applyNumberFormat="1" applyFont="1" applyFill="1" applyBorder="1" applyAlignment="1">
      <alignment vertical="center"/>
    </xf>
    <xf numFmtId="166" fontId="14" fillId="23" borderId="76" xfId="3" applyNumberFormat="1" applyFont="1" applyFill="1" applyBorder="1" applyAlignment="1">
      <alignment horizontal="center" vertical="center"/>
    </xf>
    <xf numFmtId="0" fontId="6" fillId="15" borderId="10" xfId="1" applyFont="1" applyFill="1" applyBorder="1" applyAlignment="1">
      <alignment vertical="center"/>
    </xf>
    <xf numFmtId="166" fontId="14" fillId="24" borderId="9" xfId="3" applyNumberFormat="1" applyFont="1" applyFill="1" applyBorder="1" applyAlignment="1">
      <alignment vertical="center"/>
    </xf>
    <xf numFmtId="166" fontId="14" fillId="23" borderId="78" xfId="3" applyNumberFormat="1" applyFont="1" applyFill="1" applyBorder="1" applyAlignment="1">
      <alignment horizontal="center" vertical="center"/>
    </xf>
    <xf numFmtId="0" fontId="26" fillId="5" borderId="43" xfId="1" applyFont="1" applyFill="1" applyBorder="1" applyAlignment="1">
      <alignment vertical="center"/>
    </xf>
    <xf numFmtId="0" fontId="26" fillId="5" borderId="3" xfId="1" applyFont="1" applyFill="1" applyBorder="1" applyAlignment="1">
      <alignment vertical="center"/>
    </xf>
    <xf numFmtId="0" fontId="26" fillId="5" borderId="7" xfId="1" applyFont="1" applyFill="1" applyBorder="1" applyAlignment="1">
      <alignment vertical="center"/>
    </xf>
    <xf numFmtId="0" fontId="1" fillId="5" borderId="5" xfId="1" applyFill="1" applyBorder="1" applyAlignment="1">
      <alignment vertical="center"/>
    </xf>
    <xf numFmtId="0" fontId="7" fillId="15" borderId="17" xfId="1" applyFont="1" applyFill="1" applyBorder="1" applyAlignment="1">
      <alignment horizontal="left" vertical="center" indent="1"/>
    </xf>
    <xf numFmtId="166" fontId="14" fillId="24" borderId="1" xfId="3" applyNumberFormat="1" applyFont="1" applyFill="1" applyBorder="1" applyAlignment="1">
      <alignment horizontal="right" vertical="center"/>
    </xf>
    <xf numFmtId="0" fontId="7" fillId="15" borderId="5" xfId="1" applyFont="1" applyFill="1" applyBorder="1" applyAlignment="1">
      <alignment vertical="center"/>
    </xf>
    <xf numFmtId="0" fontId="6" fillId="15" borderId="7" xfId="1" applyFont="1" applyFill="1" applyBorder="1" applyAlignment="1">
      <alignment vertical="center"/>
    </xf>
    <xf numFmtId="166" fontId="13" fillId="24" borderId="76" xfId="3" applyNumberFormat="1" applyFont="1" applyFill="1" applyBorder="1" applyAlignment="1">
      <alignment horizontal="right" vertical="center"/>
    </xf>
    <xf numFmtId="9" fontId="14" fillId="24" borderId="1" xfId="2" applyFont="1" applyFill="1" applyBorder="1" applyAlignment="1">
      <alignment horizontal="right" vertical="center"/>
    </xf>
    <xf numFmtId="0" fontId="7" fillId="15" borderId="8" xfId="1" applyFont="1" applyFill="1" applyBorder="1" applyAlignment="1">
      <alignment vertical="center"/>
    </xf>
    <xf numFmtId="166" fontId="13" fillId="24" borderId="78" xfId="3" applyNumberFormat="1" applyFont="1" applyFill="1" applyBorder="1" applyAlignment="1">
      <alignment horizontal="right" vertical="center"/>
    </xf>
    <xf numFmtId="0" fontId="1" fillId="5" borderId="44" xfId="1" applyFill="1" applyBorder="1" applyAlignment="1">
      <alignment vertical="center"/>
    </xf>
    <xf numFmtId="0" fontId="7" fillId="15" borderId="8" xfId="1" applyFont="1" applyFill="1" applyBorder="1" applyAlignment="1">
      <alignment horizontal="left" vertical="center" indent="1"/>
    </xf>
    <xf numFmtId="166" fontId="14" fillId="24" borderId="9" xfId="3" applyNumberFormat="1" applyFont="1" applyFill="1" applyBorder="1" applyAlignment="1">
      <alignment horizontal="right" vertical="center"/>
    </xf>
    <xf numFmtId="166" fontId="13" fillId="24" borderId="6" xfId="3" applyNumberFormat="1" applyFont="1" applyFill="1" applyBorder="1" applyAlignment="1">
      <alignment horizontal="right" vertical="center"/>
    </xf>
    <xf numFmtId="166" fontId="13" fillId="24" borderId="9" xfId="3" applyNumberFormat="1" applyFont="1" applyFill="1" applyBorder="1" applyAlignment="1">
      <alignment horizontal="right" vertical="center"/>
    </xf>
    <xf numFmtId="0" fontId="1" fillId="5" borderId="8" xfId="1" applyFill="1" applyBorder="1" applyAlignment="1">
      <alignment vertical="center"/>
    </xf>
    <xf numFmtId="10" fontId="33" fillId="24" borderId="9" xfId="1" applyNumberFormat="1" applyFont="1" applyFill="1" applyBorder="1" applyAlignment="1">
      <alignment horizontal="right" vertical="center"/>
    </xf>
    <xf numFmtId="10" fontId="31" fillId="24" borderId="6" xfId="2" applyNumberFormat="1" applyFont="1" applyFill="1" applyBorder="1" applyAlignment="1">
      <alignment vertical="center"/>
    </xf>
    <xf numFmtId="10" fontId="31" fillId="24" borderId="1" xfId="2" applyNumberFormat="1" applyFont="1" applyFill="1" applyBorder="1" applyAlignment="1">
      <alignment vertical="center"/>
    </xf>
    <xf numFmtId="10" fontId="31" fillId="24" borderId="9" xfId="2" applyNumberFormat="1" applyFont="1" applyFill="1" applyBorder="1" applyAlignment="1">
      <alignment vertical="center"/>
    </xf>
    <xf numFmtId="0" fontId="6" fillId="5" borderId="10" xfId="1" applyFont="1" applyFill="1" applyBorder="1" applyAlignment="1">
      <alignment vertical="center"/>
    </xf>
    <xf numFmtId="9" fontId="31" fillId="5" borderId="10" xfId="2" applyFont="1" applyFill="1" applyBorder="1" applyAlignment="1">
      <alignment horizontal="right" vertical="center"/>
    </xf>
    <xf numFmtId="10" fontId="33" fillId="24" borderId="6" xfId="2" applyNumberFormat="1" applyFont="1" applyFill="1" applyBorder="1" applyAlignment="1">
      <alignment horizontal="right" vertical="center"/>
    </xf>
    <xf numFmtId="9" fontId="31" fillId="24" borderId="9" xfId="2" applyFont="1" applyFill="1" applyBorder="1" applyAlignment="1">
      <alignment vertical="center"/>
    </xf>
    <xf numFmtId="0" fontId="6" fillId="15" borderId="43" xfId="1" applyFont="1" applyFill="1" applyBorder="1" applyAlignment="1">
      <alignment vertical="center"/>
    </xf>
    <xf numFmtId="10" fontId="31" fillId="24" borderId="44" xfId="2" applyNumberFormat="1" applyFont="1" applyFill="1" applyBorder="1" applyAlignment="1">
      <alignment horizontal="right" vertical="center"/>
    </xf>
    <xf numFmtId="166" fontId="33" fillId="24" borderId="6" xfId="3" applyNumberFormat="1" applyFont="1" applyFill="1" applyBorder="1" applyAlignment="1">
      <alignment horizontal="right" vertical="center"/>
    </xf>
    <xf numFmtId="10" fontId="33" fillId="24" borderId="1" xfId="3" applyNumberFormat="1" applyFont="1" applyFill="1" applyBorder="1" applyAlignment="1">
      <alignment horizontal="right" vertical="center"/>
    </xf>
    <xf numFmtId="166" fontId="31" fillId="24" borderId="9" xfId="3" applyNumberFormat="1" applyFont="1" applyFill="1" applyBorder="1" applyAlignment="1">
      <alignment horizontal="right" vertical="center"/>
    </xf>
    <xf numFmtId="0" fontId="24" fillId="9" borderId="45" xfId="1" applyFont="1" applyFill="1" applyBorder="1" applyAlignment="1">
      <alignment horizontal="left" vertical="center"/>
    </xf>
    <xf numFmtId="0" fontId="24" fillId="9" borderId="80" xfId="1" applyFont="1" applyFill="1" applyBorder="1" applyAlignment="1">
      <alignment horizontal="center" vertical="center"/>
    </xf>
    <xf numFmtId="0" fontId="1" fillId="8" borderId="5" xfId="1" applyFill="1" applyBorder="1" applyAlignment="1">
      <alignment vertical="center"/>
    </xf>
    <xf numFmtId="0" fontId="1" fillId="8" borderId="7" xfId="1" applyFill="1" applyBorder="1" applyAlignment="1">
      <alignment vertical="center"/>
    </xf>
    <xf numFmtId="0" fontId="1" fillId="8" borderId="6" xfId="1" applyFill="1" applyBorder="1" applyAlignment="1">
      <alignment vertical="center"/>
    </xf>
    <xf numFmtId="0" fontId="1" fillId="8" borderId="17" xfId="1" applyFill="1" applyBorder="1" applyAlignment="1">
      <alignment vertical="center"/>
    </xf>
    <xf numFmtId="0" fontId="1" fillId="8" borderId="0" xfId="1" applyFill="1" applyAlignment="1">
      <alignment vertical="center"/>
    </xf>
    <xf numFmtId="0" fontId="1" fillId="8" borderId="1" xfId="1" applyFill="1" applyBorder="1" applyAlignment="1">
      <alignment vertical="center"/>
    </xf>
    <xf numFmtId="0" fontId="3" fillId="23" borderId="43" xfId="1" applyFont="1" applyFill="1" applyBorder="1" applyAlignment="1">
      <alignment vertical="center"/>
    </xf>
    <xf numFmtId="0" fontId="40" fillId="27" borderId="44" xfId="1" applyFont="1" applyFill="1" applyBorder="1" applyAlignment="1">
      <alignment horizontal="center" vertical="center"/>
    </xf>
    <xf numFmtId="0" fontId="41" fillId="3" borderId="43" xfId="1" applyFont="1" applyFill="1" applyBorder="1" applyAlignment="1">
      <alignment vertical="center"/>
    </xf>
    <xf numFmtId="0" fontId="34" fillId="15" borderId="5" xfId="1" applyFont="1" applyFill="1" applyBorder="1" applyAlignment="1">
      <alignment vertical="center"/>
    </xf>
    <xf numFmtId="172" fontId="26" fillId="24" borderId="44" xfId="2" applyNumberFormat="1" applyFont="1" applyFill="1" applyBorder="1" applyAlignment="1">
      <alignment vertical="center"/>
    </xf>
    <xf numFmtId="172" fontId="26" fillId="24" borderId="6" xfId="2" applyNumberFormat="1" applyFont="1" applyFill="1" applyBorder="1" applyAlignment="1">
      <alignment vertical="center"/>
    </xf>
    <xf numFmtId="166" fontId="10" fillId="24" borderId="76" xfId="3" applyNumberFormat="1" applyFont="1" applyFill="1" applyBorder="1" applyAlignment="1">
      <alignment vertical="center"/>
    </xf>
    <xf numFmtId="172" fontId="26" fillId="24" borderId="1" xfId="2" applyNumberFormat="1" applyFont="1" applyFill="1" applyBorder="1" applyAlignment="1">
      <alignment vertical="center"/>
    </xf>
    <xf numFmtId="166" fontId="10" fillId="24" borderId="2" xfId="3" applyNumberFormat="1" applyFont="1" applyFill="1" applyBorder="1" applyAlignment="1">
      <alignment vertical="center"/>
    </xf>
    <xf numFmtId="0" fontId="34" fillId="15" borderId="8" xfId="1" applyFont="1" applyFill="1" applyBorder="1" applyAlignment="1">
      <alignment vertical="center"/>
    </xf>
    <xf numFmtId="172" fontId="26" fillId="24" borderId="9" xfId="2" applyNumberFormat="1" applyFont="1" applyFill="1" applyBorder="1" applyAlignment="1">
      <alignment vertical="center"/>
    </xf>
    <xf numFmtId="166" fontId="10" fillId="24" borderId="78" xfId="3" applyNumberFormat="1" applyFont="1" applyFill="1" applyBorder="1" applyAlignment="1">
      <alignment vertical="center"/>
    </xf>
    <xf numFmtId="0" fontId="1" fillId="8" borderId="8" xfId="1" applyFill="1" applyBorder="1" applyAlignment="1">
      <alignment vertical="center"/>
    </xf>
    <xf numFmtId="0" fontId="1" fillId="8" borderId="10" xfId="1" applyFill="1" applyBorder="1" applyAlignment="1">
      <alignment vertical="center"/>
    </xf>
    <xf numFmtId="0" fontId="1" fillId="8" borderId="9" xfId="1" applyFill="1" applyBorder="1" applyAlignment="1">
      <alignment vertical="center"/>
    </xf>
    <xf numFmtId="0" fontId="34" fillId="15" borderId="43" xfId="1" applyFont="1" applyFill="1" applyBorder="1" applyAlignment="1">
      <alignment horizontal="center" vertical="center"/>
    </xf>
    <xf numFmtId="0" fontId="34" fillId="15" borderId="3" xfId="1" applyFont="1" applyFill="1" applyBorder="1" applyAlignment="1">
      <alignment horizontal="center" vertical="center"/>
    </xf>
    <xf numFmtId="0" fontId="34" fillId="15" borderId="44" xfId="1" applyFont="1" applyFill="1" applyBorder="1" applyAlignment="1">
      <alignment horizontal="center" vertical="center"/>
    </xf>
    <xf numFmtId="172" fontId="10" fillId="24" borderId="6" xfId="2" applyNumberFormat="1" applyFont="1" applyFill="1" applyBorder="1" applyAlignment="1">
      <alignment vertical="center"/>
    </xf>
    <xf numFmtId="172" fontId="10" fillId="24" borderId="1" xfId="2" applyNumberFormat="1" applyFont="1" applyFill="1" applyBorder="1" applyAlignment="1">
      <alignment vertical="center"/>
    </xf>
    <xf numFmtId="10" fontId="26" fillId="24" borderId="82" xfId="2" applyNumberFormat="1" applyFont="1" applyFill="1" applyBorder="1" applyAlignment="1">
      <alignment horizontal="center" vertical="center"/>
    </xf>
    <xf numFmtId="10" fontId="26" fillId="24" borderId="83" xfId="2" applyNumberFormat="1" applyFont="1" applyFill="1" applyBorder="1" applyAlignment="1">
      <alignment horizontal="center" vertical="center"/>
    </xf>
    <xf numFmtId="10" fontId="26" fillId="24" borderId="84" xfId="2" applyNumberFormat="1" applyFont="1" applyFill="1" applyBorder="1" applyAlignment="1">
      <alignment horizontal="center" vertical="center"/>
    </xf>
    <xf numFmtId="10" fontId="26" fillId="24" borderId="17" xfId="2" applyNumberFormat="1" applyFont="1" applyFill="1" applyBorder="1" applyAlignment="1">
      <alignment horizontal="center" vertical="center"/>
    </xf>
    <xf numFmtId="10" fontId="26" fillId="24" borderId="0" xfId="2" applyNumberFormat="1" applyFont="1" applyFill="1" applyBorder="1" applyAlignment="1">
      <alignment horizontal="center" vertical="center"/>
    </xf>
    <xf numFmtId="10" fontId="26" fillId="24" borderId="1" xfId="2" applyNumberFormat="1" applyFont="1" applyFill="1" applyBorder="1" applyAlignment="1">
      <alignment horizontal="center" vertical="center"/>
    </xf>
    <xf numFmtId="172" fontId="10" fillId="24" borderId="9" xfId="2" applyNumberFormat="1" applyFont="1" applyFill="1" applyBorder="1" applyAlignment="1">
      <alignment vertical="center"/>
    </xf>
    <xf numFmtId="10" fontId="26" fillId="24" borderId="8" xfId="2" applyNumberFormat="1" applyFont="1" applyFill="1" applyBorder="1" applyAlignment="1">
      <alignment horizontal="center" vertical="center"/>
    </xf>
    <xf numFmtId="10" fontId="26" fillId="24" borderId="10" xfId="2" applyNumberFormat="1" applyFont="1" applyFill="1" applyBorder="1" applyAlignment="1">
      <alignment horizontal="center" vertical="center"/>
    </xf>
    <xf numFmtId="10" fontId="26" fillId="24" borderId="9" xfId="2" applyNumberFormat="1" applyFont="1" applyFill="1" applyBorder="1" applyAlignment="1">
      <alignment horizontal="center" vertical="center"/>
    </xf>
    <xf numFmtId="0" fontId="1" fillId="8" borderId="2" xfId="1" applyFill="1" applyBorder="1" applyAlignment="1">
      <alignment vertical="center"/>
    </xf>
    <xf numFmtId="0" fontId="5" fillId="5" borderId="43" xfId="1" applyFont="1" applyFill="1" applyBorder="1" applyAlignment="1">
      <alignment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44" xfId="1" applyFont="1" applyFill="1" applyBorder="1" applyAlignment="1">
      <alignment horizontal="center" vertical="center"/>
    </xf>
    <xf numFmtId="0" fontId="33" fillId="5" borderId="85" xfId="1" applyFont="1" applyFill="1" applyBorder="1" applyAlignment="1">
      <alignment vertical="center"/>
    </xf>
    <xf numFmtId="0" fontId="33" fillId="5" borderId="85" xfId="1" applyFont="1" applyFill="1" applyBorder="1" applyAlignment="1">
      <alignment horizontal="center" vertical="center"/>
    </xf>
    <xf numFmtId="0" fontId="33" fillId="5" borderId="85" xfId="1" applyFont="1" applyFill="1" applyBorder="1" applyAlignment="1">
      <alignment horizontal="center" vertical="center" wrapText="1"/>
    </xf>
    <xf numFmtId="0" fontId="33" fillId="5" borderId="43" xfId="1" applyFont="1" applyFill="1" applyBorder="1" applyAlignment="1">
      <alignment vertical="center"/>
    </xf>
    <xf numFmtId="0" fontId="33" fillId="5" borderId="44" xfId="1" applyFont="1" applyFill="1" applyBorder="1" applyAlignment="1">
      <alignment vertical="center"/>
    </xf>
    <xf numFmtId="0" fontId="33" fillId="5" borderId="43" xfId="1" applyFont="1" applyFill="1" applyBorder="1" applyAlignment="1">
      <alignment horizontal="center" vertical="center"/>
    </xf>
    <xf numFmtId="0" fontId="33" fillId="5" borderId="44" xfId="1" applyFont="1" applyFill="1" applyBorder="1" applyAlignment="1">
      <alignment horizontal="center" vertical="center"/>
    </xf>
    <xf numFmtId="0" fontId="33" fillId="5" borderId="3" xfId="1" applyFont="1" applyFill="1" applyBorder="1" applyAlignment="1">
      <alignment vertical="center"/>
    </xf>
    <xf numFmtId="0" fontId="5" fillId="28" borderId="85" xfId="1" applyFont="1" applyFill="1" applyBorder="1" applyAlignment="1">
      <alignment horizontal="center" vertical="center"/>
    </xf>
    <xf numFmtId="0" fontId="33" fillId="29" borderId="85" xfId="1" applyFont="1" applyFill="1" applyBorder="1" applyAlignment="1">
      <alignment horizontal="center" vertical="center"/>
    </xf>
    <xf numFmtId="0" fontId="1" fillId="0" borderId="5" xfId="1" applyBorder="1" applyAlignment="1">
      <alignment vertical="center"/>
    </xf>
    <xf numFmtId="14" fontId="0" fillId="0" borderId="7" xfId="3" applyNumberFormat="1" applyFont="1" applyBorder="1" applyAlignment="1">
      <alignment horizontal="center" vertical="center"/>
    </xf>
    <xf numFmtId="0" fontId="1" fillId="0" borderId="7" xfId="1" quotePrefix="1" applyBorder="1" applyAlignment="1">
      <alignment horizontal="center" vertical="center"/>
    </xf>
    <xf numFmtId="0" fontId="1" fillId="0" borderId="6" xfId="1" quotePrefix="1" applyBorder="1" applyAlignment="1">
      <alignment horizontal="center" vertical="center"/>
    </xf>
    <xf numFmtId="0" fontId="12" fillId="8" borderId="76" xfId="1" applyFont="1" applyFill="1" applyBorder="1" applyAlignment="1">
      <alignment vertical="center"/>
    </xf>
    <xf numFmtId="0" fontId="12" fillId="8" borderId="76" xfId="1" applyFont="1" applyFill="1" applyBorder="1" applyAlignment="1">
      <alignment horizontal="center" vertical="center"/>
    </xf>
    <xf numFmtId="0" fontId="12" fillId="8" borderId="5" xfId="1" applyFont="1" applyFill="1" applyBorder="1" applyAlignment="1">
      <alignment horizontal="left" vertical="center"/>
    </xf>
    <xf numFmtId="0" fontId="12" fillId="8" borderId="6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center" vertical="center"/>
    </xf>
    <xf numFmtId="0" fontId="12" fillId="8" borderId="7" xfId="1" applyFont="1" applyFill="1" applyBorder="1" applyAlignment="1">
      <alignment horizontal="left" vertical="center"/>
    </xf>
    <xf numFmtId="0" fontId="26" fillId="8" borderId="76" xfId="1" applyFont="1" applyFill="1" applyBorder="1" applyAlignment="1">
      <alignment vertical="center"/>
    </xf>
    <xf numFmtId="0" fontId="5" fillId="5" borderId="43" xfId="1" applyFont="1" applyFill="1" applyBorder="1" applyAlignment="1">
      <alignment horizontal="center" vertical="center"/>
    </xf>
    <xf numFmtId="0" fontId="5" fillId="8" borderId="43" xfId="1" applyFont="1" applyFill="1" applyBorder="1" applyAlignment="1">
      <alignment horizontal="center" vertical="center"/>
    </xf>
    <xf numFmtId="0" fontId="10" fillId="0" borderId="85" xfId="1" applyFont="1" applyBorder="1" applyAlignment="1">
      <alignment vertical="center"/>
    </xf>
    <xf numFmtId="0" fontId="12" fillId="29" borderId="85" xfId="1" applyFont="1" applyFill="1" applyBorder="1" applyAlignment="1">
      <alignment horizontal="center" vertical="center"/>
    </xf>
    <xf numFmtId="0" fontId="12" fillId="0" borderId="85" xfId="1" applyFont="1" applyBorder="1" applyAlignment="1">
      <alignment horizontal="center" vertical="center"/>
    </xf>
    <xf numFmtId="0" fontId="12" fillId="2" borderId="85" xfId="1" applyFont="1" applyFill="1" applyBorder="1" applyAlignment="1">
      <alignment horizontal="center" vertical="center"/>
    </xf>
    <xf numFmtId="0" fontId="12" fillId="0" borderId="85" xfId="4" applyFont="1" applyBorder="1" applyAlignment="1">
      <alignment horizontal="center" vertical="center"/>
    </xf>
    <xf numFmtId="0" fontId="1" fillId="0" borderId="17" xfId="1" applyBorder="1" applyAlignment="1">
      <alignment vertical="center"/>
    </xf>
    <xf numFmtId="14" fontId="0" fillId="0" borderId="0" xfId="3" applyNumberFormat="1" applyFont="1" applyBorder="1" applyAlignment="1">
      <alignment horizontal="center" vertical="center"/>
    </xf>
    <xf numFmtId="0" fontId="1" fillId="0" borderId="0" xfId="1" quotePrefix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0" fontId="12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horizontal="center" vertical="center"/>
    </xf>
    <xf numFmtId="0" fontId="12" fillId="8" borderId="17" xfId="1" applyFont="1" applyFill="1" applyBorder="1" applyAlignment="1">
      <alignment horizontal="left" vertical="center"/>
    </xf>
    <xf numFmtId="0" fontId="12" fillId="8" borderId="1" xfId="1" applyFont="1" applyFill="1" applyBorder="1" applyAlignment="1">
      <alignment horizontal="left" vertical="center"/>
    </xf>
    <xf numFmtId="0" fontId="12" fillId="8" borderId="0" xfId="1" applyFont="1" applyFill="1" applyAlignment="1">
      <alignment horizontal="center" vertical="center"/>
    </xf>
    <xf numFmtId="0" fontId="12" fillId="8" borderId="0" xfId="1" applyFont="1" applyFill="1" applyAlignment="1">
      <alignment horizontal="left" vertical="center"/>
    </xf>
    <xf numFmtId="0" fontId="26" fillId="8" borderId="2" xfId="1" applyFont="1" applyFill="1" applyBorder="1" applyAlignment="1">
      <alignment vertical="center"/>
    </xf>
    <xf numFmtId="0" fontId="5" fillId="8" borderId="44" xfId="1" applyFont="1" applyFill="1" applyBorder="1" applyAlignment="1">
      <alignment horizontal="center" vertical="center"/>
    </xf>
    <xf numFmtId="0" fontId="44" fillId="8" borderId="0" xfId="1" applyFont="1" applyFill="1" applyAlignment="1">
      <alignment horizontal="center" vertical="center"/>
    </xf>
    <xf numFmtId="0" fontId="44" fillId="8" borderId="17" xfId="1" applyFont="1" applyFill="1" applyBorder="1" applyAlignment="1">
      <alignment horizontal="left" vertical="center"/>
    </xf>
    <xf numFmtId="0" fontId="44" fillId="8" borderId="0" xfId="1" applyFont="1" applyFill="1" applyAlignment="1">
      <alignment horizontal="left" vertical="center"/>
    </xf>
    <xf numFmtId="0" fontId="12" fillId="5" borderId="2" xfId="1" applyFont="1" applyFill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left" vertical="center"/>
    </xf>
    <xf numFmtId="0" fontId="12" fillId="5" borderId="1" xfId="1" applyFont="1" applyFill="1" applyBorder="1" applyAlignment="1">
      <alignment horizontal="left" vertical="center"/>
    </xf>
    <xf numFmtId="0" fontId="12" fillId="5" borderId="0" xfId="1" applyFont="1" applyFill="1" applyAlignment="1">
      <alignment horizontal="center" vertical="center"/>
    </xf>
    <xf numFmtId="0" fontId="12" fillId="5" borderId="0" xfId="1" applyFont="1" applyFill="1" applyAlignment="1">
      <alignment horizontal="left" vertical="center"/>
    </xf>
    <xf numFmtId="0" fontId="26" fillId="5" borderId="2" xfId="1" applyFont="1" applyFill="1" applyBorder="1" applyAlignment="1">
      <alignment vertical="center"/>
    </xf>
    <xf numFmtId="0" fontId="0" fillId="0" borderId="17" xfId="3" applyNumberFormat="1" applyFont="1" applyBorder="1" applyAlignment="1">
      <alignment horizontal="center" vertical="center"/>
    </xf>
    <xf numFmtId="10" fontId="0" fillId="28" borderId="17" xfId="2" applyNumberFormat="1" applyFont="1" applyFill="1" applyBorder="1" applyAlignment="1">
      <alignment horizontal="center" vertical="center"/>
    </xf>
    <xf numFmtId="10" fontId="0" fillId="28" borderId="0" xfId="2" applyNumberFormat="1" applyFont="1" applyFill="1" applyBorder="1" applyAlignment="1">
      <alignment horizontal="center" vertical="center"/>
    </xf>
    <xf numFmtId="10" fontId="0" fillId="28" borderId="6" xfId="2" applyNumberFormat="1" applyFont="1" applyFill="1" applyBorder="1" applyAlignment="1">
      <alignment horizontal="center" vertical="center"/>
    </xf>
    <xf numFmtId="10" fontId="12" fillId="0" borderId="2" xfId="2" applyNumberFormat="1" applyFont="1" applyBorder="1" applyAlignment="1">
      <alignment horizontal="center" vertical="center"/>
    </xf>
    <xf numFmtId="10" fontId="12" fillId="5" borderId="17" xfId="2" applyNumberFormat="1" applyFont="1" applyFill="1" applyBorder="1" applyAlignment="1">
      <alignment horizontal="center" vertical="center"/>
    </xf>
    <xf numFmtId="10" fontId="12" fillId="5" borderId="1" xfId="2" applyNumberFormat="1" applyFont="1" applyFill="1" applyBorder="1" applyAlignment="1">
      <alignment horizontal="center" vertical="center"/>
    </xf>
    <xf numFmtId="10" fontId="12" fillId="8" borderId="17" xfId="2" applyNumberFormat="1" applyFont="1" applyFill="1" applyBorder="1" applyAlignment="1">
      <alignment horizontal="center" vertical="center"/>
    </xf>
    <xf numFmtId="10" fontId="12" fillId="8" borderId="1" xfId="2" applyNumberFormat="1" applyFont="1" applyFill="1" applyBorder="1" applyAlignment="1">
      <alignment horizontal="center" vertical="center"/>
    </xf>
    <xf numFmtId="10" fontId="12" fillId="0" borderId="5" xfId="2" applyNumberFormat="1" applyFont="1" applyBorder="1" applyAlignment="1">
      <alignment horizontal="center" vertical="center"/>
    </xf>
    <xf numFmtId="10" fontId="12" fillId="0" borderId="6" xfId="2" applyNumberFormat="1" applyFont="1" applyBorder="1" applyAlignment="1">
      <alignment horizontal="center" vertical="center"/>
    </xf>
    <xf numFmtId="0" fontId="1" fillId="0" borderId="8" xfId="1" applyBorder="1" applyAlignment="1">
      <alignment vertical="center"/>
    </xf>
    <xf numFmtId="14" fontId="0" fillId="0" borderId="10" xfId="3" applyNumberFormat="1" applyFont="1" applyBorder="1" applyAlignment="1">
      <alignment horizontal="center" vertical="center"/>
    </xf>
    <xf numFmtId="0" fontId="1" fillId="0" borderId="10" xfId="1" quotePrefix="1" applyBorder="1" applyAlignment="1">
      <alignment horizontal="center" vertical="center"/>
    </xf>
    <xf numFmtId="0" fontId="1" fillId="0" borderId="9" xfId="1" quotePrefix="1" applyBorder="1" applyAlignment="1">
      <alignment horizontal="center" vertical="center"/>
    </xf>
    <xf numFmtId="10" fontId="0" fillId="28" borderId="1" xfId="2" applyNumberFormat="1" applyFont="1" applyFill="1" applyBorder="1" applyAlignment="1">
      <alignment horizontal="center" vertical="center"/>
    </xf>
    <xf numFmtId="10" fontId="44" fillId="5" borderId="17" xfId="2" applyNumberFormat="1" applyFont="1" applyFill="1" applyBorder="1" applyAlignment="1">
      <alignment horizontal="center" vertical="center"/>
    </xf>
    <xf numFmtId="10" fontId="44" fillId="5" borderId="1" xfId="2" applyNumberFormat="1" applyFont="1" applyFill="1" applyBorder="1" applyAlignment="1">
      <alignment horizontal="center" vertical="center"/>
    </xf>
    <xf numFmtId="10" fontId="44" fillId="8" borderId="17" xfId="2" applyNumberFormat="1" applyFont="1" applyFill="1" applyBorder="1" applyAlignment="1">
      <alignment horizontal="center" vertical="center"/>
    </xf>
    <xf numFmtId="10" fontId="44" fillId="8" borderId="1" xfId="2" applyNumberFormat="1" applyFont="1" applyFill="1" applyBorder="1" applyAlignment="1">
      <alignment horizontal="center" vertical="center"/>
    </xf>
    <xf numFmtId="10" fontId="44" fillId="0" borderId="17" xfId="2" applyNumberFormat="1" applyFont="1" applyBorder="1" applyAlignment="1">
      <alignment horizontal="center" vertical="center"/>
    </xf>
    <xf numFmtId="10" fontId="44" fillId="0" borderId="1" xfId="2" applyNumberFormat="1" applyFont="1" applyBorder="1" applyAlignment="1">
      <alignment horizontal="center" vertical="center"/>
    </xf>
    <xf numFmtId="0" fontId="12" fillId="23" borderId="85" xfId="1" applyFont="1" applyFill="1" applyBorder="1" applyAlignment="1">
      <alignment horizontal="center" vertical="center"/>
    </xf>
    <xf numFmtId="10" fontId="12" fillId="0" borderId="17" xfId="2" applyNumberFormat="1" applyFont="1" applyBorder="1" applyAlignment="1">
      <alignment horizontal="center" vertical="center"/>
    </xf>
    <xf numFmtId="10" fontId="12" fillId="0" borderId="1" xfId="2" applyNumberFormat="1" applyFont="1" applyBorder="1" applyAlignment="1">
      <alignment horizontal="center" vertical="center"/>
    </xf>
    <xf numFmtId="0" fontId="12" fillId="2" borderId="85" xfId="4" applyFont="1" applyFill="1" applyBorder="1" applyAlignment="1">
      <alignment horizontal="center" vertical="center"/>
    </xf>
    <xf numFmtId="0" fontId="5" fillId="5" borderId="85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78" xfId="1" applyBorder="1" applyAlignment="1">
      <alignment horizontal="center" vertical="center"/>
    </xf>
    <xf numFmtId="0" fontId="10" fillId="0" borderId="85" xfId="1" applyFont="1" applyBorder="1" applyAlignment="1">
      <alignment horizontal="left" vertical="center" wrapText="1"/>
    </xf>
    <xf numFmtId="173" fontId="0" fillId="0" borderId="1" xfId="3" applyNumberFormat="1" applyFont="1" applyBorder="1" applyAlignment="1">
      <alignment horizontal="center" vertical="center"/>
    </xf>
    <xf numFmtId="0" fontId="0" fillId="0" borderId="8" xfId="3" applyNumberFormat="1" applyFont="1" applyBorder="1" applyAlignment="1">
      <alignment horizontal="center" vertical="center"/>
    </xf>
    <xf numFmtId="10" fontId="0" fillId="28" borderId="8" xfId="2" applyNumberFormat="1" applyFont="1" applyFill="1" applyBorder="1" applyAlignment="1">
      <alignment horizontal="center" vertical="center"/>
    </xf>
    <xf numFmtId="10" fontId="0" fillId="28" borderId="10" xfId="2" applyNumberFormat="1" applyFont="1" applyFill="1" applyBorder="1" applyAlignment="1">
      <alignment horizontal="center" vertical="center"/>
    </xf>
    <xf numFmtId="10" fontId="0" fillId="28" borderId="9" xfId="2" applyNumberFormat="1" applyFont="1" applyFill="1" applyBorder="1" applyAlignment="1">
      <alignment horizontal="center" vertical="center"/>
    </xf>
    <xf numFmtId="10" fontId="12" fillId="0" borderId="78" xfId="2" applyNumberFormat="1" applyFont="1" applyBorder="1" applyAlignment="1">
      <alignment horizontal="center" vertical="center"/>
    </xf>
    <xf numFmtId="10" fontId="12" fillId="5" borderId="8" xfId="2" applyNumberFormat="1" applyFont="1" applyFill="1" applyBorder="1" applyAlignment="1">
      <alignment horizontal="center" vertical="center"/>
    </xf>
    <xf numFmtId="10" fontId="12" fillId="5" borderId="9" xfId="2" applyNumberFormat="1" applyFont="1" applyFill="1" applyBorder="1" applyAlignment="1">
      <alignment horizontal="center" vertical="center"/>
    </xf>
    <xf numFmtId="10" fontId="12" fillId="8" borderId="8" xfId="2" applyNumberFormat="1" applyFont="1" applyFill="1" applyBorder="1" applyAlignment="1">
      <alignment horizontal="center" vertical="center"/>
    </xf>
    <xf numFmtId="10" fontId="12" fillId="8" borderId="9" xfId="2" applyNumberFormat="1" applyFont="1" applyFill="1" applyBorder="1" applyAlignment="1">
      <alignment horizontal="center" vertical="center"/>
    </xf>
    <xf numFmtId="10" fontId="12" fillId="0" borderId="8" xfId="2" applyNumberFormat="1" applyFont="1" applyBorder="1" applyAlignment="1">
      <alignment horizontal="center" vertical="center"/>
    </xf>
    <xf numFmtId="10" fontId="12" fillId="0" borderId="9" xfId="2" applyNumberFormat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173" fontId="0" fillId="0" borderId="9" xfId="3" applyNumberFormat="1" applyFont="1" applyBorder="1" applyAlignment="1">
      <alignment horizontal="center" vertical="center"/>
    </xf>
    <xf numFmtId="0" fontId="46" fillId="30" borderId="85" xfId="5" applyFont="1" applyFill="1" applyBorder="1" applyAlignment="1">
      <alignment vertical="center"/>
    </xf>
    <xf numFmtId="10" fontId="0" fillId="0" borderId="2" xfId="2" applyNumberFormat="1" applyFont="1" applyBorder="1" applyAlignment="1">
      <alignment horizontal="center" vertical="center"/>
    </xf>
    <xf numFmtId="10" fontId="0" fillId="0" borderId="78" xfId="2" applyNumberFormat="1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0" fontId="0" fillId="0" borderId="2" xfId="3" applyNumberFormat="1" applyFont="1" applyBorder="1" applyAlignment="1">
      <alignment horizontal="center" vertical="center"/>
    </xf>
    <xf numFmtId="0" fontId="0" fillId="0" borderId="78" xfId="3" applyNumberFormat="1" applyFont="1" applyBorder="1" applyAlignment="1">
      <alignment horizontal="center" vertical="center"/>
    </xf>
    <xf numFmtId="0" fontId="5" fillId="5" borderId="3" xfId="1" applyFont="1" applyFill="1" applyBorder="1" applyAlignment="1">
      <alignment vertical="center"/>
    </xf>
    <xf numFmtId="0" fontId="12" fillId="5" borderId="78" xfId="1" applyFont="1" applyFill="1" applyBorder="1" applyAlignment="1">
      <alignment vertical="center"/>
    </xf>
    <xf numFmtId="0" fontId="12" fillId="5" borderId="78" xfId="1" applyFont="1" applyFill="1" applyBorder="1" applyAlignment="1">
      <alignment horizontal="center" vertical="center"/>
    </xf>
    <xf numFmtId="0" fontId="12" fillId="5" borderId="8" xfId="1" applyFont="1" applyFill="1" applyBorder="1" applyAlignment="1">
      <alignment horizontal="left" vertical="center"/>
    </xf>
    <xf numFmtId="0" fontId="12" fillId="5" borderId="9" xfId="1" applyFont="1" applyFill="1" applyBorder="1" applyAlignment="1">
      <alignment horizontal="left" vertical="center"/>
    </xf>
    <xf numFmtId="0" fontId="12" fillId="5" borderId="10" xfId="1" applyFont="1" applyFill="1" applyBorder="1" applyAlignment="1">
      <alignment horizontal="center" vertical="center"/>
    </xf>
    <xf numFmtId="0" fontId="12" fillId="5" borderId="10" xfId="1" applyFont="1" applyFill="1" applyBorder="1" applyAlignment="1">
      <alignment horizontal="left" vertical="center"/>
    </xf>
    <xf numFmtId="0" fontId="26" fillId="5" borderId="78" xfId="1" applyFont="1" applyFill="1" applyBorder="1" applyAlignment="1">
      <alignment vertical="center"/>
    </xf>
    <xf numFmtId="0" fontId="6" fillId="31" borderId="85" xfId="1" applyFont="1" applyFill="1" applyBorder="1" applyAlignment="1">
      <alignment vertical="center"/>
    </xf>
    <xf numFmtId="0" fontId="6" fillId="31" borderId="85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3" fillId="5" borderId="85" xfId="1" applyFont="1" applyFill="1" applyBorder="1" applyAlignment="1">
      <alignment vertical="center"/>
    </xf>
    <xf numFmtId="0" fontId="13" fillId="5" borderId="85" xfId="1" applyFont="1" applyFill="1" applyBorder="1" applyAlignment="1">
      <alignment horizontal="center" vertical="center"/>
    </xf>
    <xf numFmtId="0" fontId="5" fillId="5" borderId="43" xfId="1" applyFont="1" applyFill="1" applyBorder="1" applyAlignment="1">
      <alignment horizontal="center" vertical="center" wrapText="1"/>
    </xf>
    <xf numFmtId="0" fontId="5" fillId="28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4" xfId="1" applyFont="1" applyFill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0" fillId="2" borderId="17" xfId="3" applyNumberFormat="1" applyFont="1" applyFill="1" applyBorder="1" applyAlignment="1">
      <alignment horizontal="center" vertical="center"/>
    </xf>
    <xf numFmtId="174" fontId="0" fillId="28" borderId="0" xfId="2" applyNumberFormat="1" applyFont="1" applyFill="1" applyBorder="1" applyAlignment="1">
      <alignment horizontal="center" vertical="center"/>
    </xf>
    <xf numFmtId="174" fontId="0" fillId="2" borderId="0" xfId="2" applyNumberFormat="1" applyFont="1" applyFill="1" applyBorder="1" applyAlignment="1">
      <alignment horizontal="center" vertical="center"/>
    </xf>
    <xf numFmtId="0" fontId="0" fillId="2" borderId="1" xfId="3" applyNumberFormat="1" applyFont="1" applyFill="1" applyBorder="1" applyAlignment="1">
      <alignment horizontal="center" vertical="center"/>
    </xf>
    <xf numFmtId="0" fontId="5" fillId="5" borderId="85" xfId="1" applyFont="1" applyFill="1" applyBorder="1" applyAlignment="1">
      <alignment vertical="center"/>
    </xf>
    <xf numFmtId="0" fontId="1" fillId="0" borderId="2" xfId="1" applyBorder="1" applyAlignment="1">
      <alignment vertical="center"/>
    </xf>
    <xf numFmtId="0" fontId="0" fillId="0" borderId="1" xfId="2" applyNumberFormat="1" applyFont="1" applyBorder="1" applyAlignment="1">
      <alignment horizontal="center" vertical="center"/>
    </xf>
    <xf numFmtId="0" fontId="1" fillId="0" borderId="76" xfId="1" applyBorder="1" applyAlignment="1">
      <alignment horizontal="center" vertical="center"/>
    </xf>
    <xf numFmtId="0" fontId="1" fillId="0" borderId="10" xfId="1" applyBorder="1" applyAlignment="1">
      <alignment vertical="center"/>
    </xf>
    <xf numFmtId="0" fontId="1" fillId="0" borderId="9" xfId="1" applyBorder="1" applyAlignment="1">
      <alignment vertical="center"/>
    </xf>
    <xf numFmtId="0" fontId="12" fillId="2" borderId="8" xfId="1" applyFont="1" applyFill="1" applyBorder="1" applyAlignment="1">
      <alignment vertical="center"/>
    </xf>
    <xf numFmtId="0" fontId="12" fillId="2" borderId="9" xfId="2" applyNumberFormat="1" applyFont="1" applyFill="1" applyBorder="1" applyAlignment="1">
      <alignment horizontal="center" vertical="center"/>
    </xf>
    <xf numFmtId="0" fontId="1" fillId="0" borderId="78" xfId="1" applyBorder="1" applyAlignment="1">
      <alignment vertical="center"/>
    </xf>
    <xf numFmtId="0" fontId="1" fillId="0" borderId="76" xfId="1" applyBorder="1" applyAlignment="1">
      <alignment vertical="center"/>
    </xf>
    <xf numFmtId="9" fontId="1" fillId="0" borderId="76" xfId="2" applyFont="1" applyBorder="1" applyAlignment="1">
      <alignment horizontal="center" vertical="center"/>
    </xf>
    <xf numFmtId="9" fontId="1" fillId="0" borderId="6" xfId="2" applyFont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9" fontId="1" fillId="0" borderId="2" xfId="2" applyFont="1" applyBorder="1" applyAlignment="1">
      <alignment horizontal="center" vertical="center"/>
    </xf>
    <xf numFmtId="9" fontId="1" fillId="0" borderId="1" xfId="2" applyFont="1" applyBorder="1" applyAlignment="1">
      <alignment horizontal="center" vertical="center"/>
    </xf>
    <xf numFmtId="0" fontId="0" fillId="2" borderId="8" xfId="3" applyNumberFormat="1" applyFont="1" applyFill="1" applyBorder="1" applyAlignment="1">
      <alignment horizontal="center" vertical="center"/>
    </xf>
    <xf numFmtId="174" fontId="0" fillId="28" borderId="10" xfId="2" applyNumberFormat="1" applyFont="1" applyFill="1" applyBorder="1" applyAlignment="1">
      <alignment horizontal="center" vertical="center"/>
    </xf>
    <xf numFmtId="174" fontId="0" fillId="2" borderId="10" xfId="2" applyNumberFormat="1" applyFont="1" applyFill="1" applyBorder="1" applyAlignment="1">
      <alignment horizontal="center" vertical="center"/>
    </xf>
    <xf numFmtId="0" fontId="0" fillId="2" borderId="9" xfId="3" applyNumberFormat="1" applyFont="1" applyFill="1" applyBorder="1" applyAlignment="1">
      <alignment horizontal="center" vertical="center"/>
    </xf>
    <xf numFmtId="166" fontId="0" fillId="2" borderId="17" xfId="3" applyNumberFormat="1" applyFont="1" applyFill="1" applyBorder="1" applyAlignment="1">
      <alignment vertical="center"/>
    </xf>
    <xf numFmtId="174" fontId="12" fillId="2" borderId="0" xfId="2" applyNumberFormat="1" applyFont="1" applyFill="1" applyBorder="1" applyAlignment="1">
      <alignment horizontal="center" vertical="center"/>
    </xf>
    <xf numFmtId="166" fontId="0" fillId="2" borderId="8" xfId="3" applyNumberFormat="1" applyFont="1" applyFill="1" applyBorder="1" applyAlignment="1">
      <alignment vertical="center"/>
    </xf>
    <xf numFmtId="174" fontId="12" fillId="2" borderId="10" xfId="2" applyNumberFormat="1" applyFont="1" applyFill="1" applyBorder="1" applyAlignment="1">
      <alignment horizontal="center" vertical="center"/>
    </xf>
    <xf numFmtId="0" fontId="0" fillId="2" borderId="6" xfId="3" applyNumberFormat="1" applyFont="1" applyFill="1" applyBorder="1" applyAlignment="1">
      <alignment horizontal="center" vertical="center"/>
    </xf>
    <xf numFmtId="166" fontId="12" fillId="0" borderId="0" xfId="3" applyNumberFormat="1" applyFont="1" applyBorder="1" applyAlignment="1">
      <alignment horizontal="center" vertical="center"/>
    </xf>
    <xf numFmtId="0" fontId="5" fillId="5" borderId="44" xfId="1" applyFont="1" applyFill="1" applyBorder="1" applyAlignment="1">
      <alignment horizontal="right" vertical="center"/>
    </xf>
    <xf numFmtId="0" fontId="47" fillId="0" borderId="0" xfId="1" applyFont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9" fontId="0" fillId="28" borderId="10" xfId="2" applyFont="1" applyFill="1" applyBorder="1" applyAlignment="1">
      <alignment horizontal="center" vertical="center"/>
    </xf>
    <xf numFmtId="9" fontId="0" fillId="2" borderId="10" xfId="2" applyFont="1" applyFill="1" applyBorder="1" applyAlignment="1">
      <alignment horizontal="center" vertical="center"/>
    </xf>
    <xf numFmtId="0" fontId="5" fillId="28" borderId="43" xfId="1" applyFont="1" applyFill="1" applyBorder="1" applyAlignment="1">
      <alignment horizontal="center" vertical="center" wrapText="1"/>
    </xf>
    <xf numFmtId="10" fontId="12" fillId="2" borderId="10" xfId="2" applyNumberFormat="1" applyFont="1" applyFill="1" applyBorder="1" applyAlignment="1">
      <alignment horizontal="center" vertical="center"/>
    </xf>
    <xf numFmtId="0" fontId="44" fillId="0" borderId="0" xfId="1" applyFont="1" applyAlignment="1">
      <alignment horizontal="center" vertical="center"/>
    </xf>
    <xf numFmtId="0" fontId="1" fillId="2" borderId="17" xfId="1" applyFill="1" applyBorder="1" applyAlignment="1">
      <alignment horizontal="center" vertical="center"/>
    </xf>
    <xf numFmtId="10" fontId="0" fillId="28" borderId="7" xfId="2" applyNumberFormat="1" applyFont="1" applyFill="1" applyBorder="1" applyAlignment="1">
      <alignment horizontal="center" vertical="center"/>
    </xf>
    <xf numFmtId="10" fontId="12" fillId="2" borderId="7" xfId="2" applyNumberFormat="1" applyFont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9" fontId="1" fillId="0" borderId="78" xfId="2" applyFont="1" applyBorder="1" applyAlignment="1">
      <alignment horizontal="center" vertical="center"/>
    </xf>
    <xf numFmtId="9" fontId="1" fillId="0" borderId="9" xfId="2" applyFont="1" applyBorder="1" applyAlignment="1">
      <alignment horizontal="center" vertical="center"/>
    </xf>
    <xf numFmtId="0" fontId="0" fillId="28" borderId="8" xfId="2" applyNumberFormat="1" applyFont="1" applyFill="1" applyBorder="1" applyAlignment="1">
      <alignment horizontal="center" vertical="center"/>
    </xf>
    <xf numFmtId="0" fontId="0" fillId="2" borderId="10" xfId="3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0" fillId="28" borderId="8" xfId="3" applyNumberFormat="1" applyFont="1" applyFill="1" applyBorder="1" applyAlignment="1">
      <alignment horizontal="center" vertical="center"/>
    </xf>
    <xf numFmtId="0" fontId="0" fillId="2" borderId="0" xfId="3" applyNumberFormat="1" applyFont="1" applyFill="1" applyBorder="1" applyAlignment="1">
      <alignment horizontal="center" vertical="center"/>
    </xf>
    <xf numFmtId="166" fontId="0" fillId="28" borderId="8" xfId="3" applyNumberFormat="1" applyFont="1" applyFill="1" applyBorder="1" applyAlignment="1">
      <alignment vertical="center"/>
    </xf>
    <xf numFmtId="166" fontId="0" fillId="2" borderId="10" xfId="3" applyNumberFormat="1" applyFont="1" applyFill="1" applyBorder="1" applyAlignment="1">
      <alignment vertical="center"/>
    </xf>
    <xf numFmtId="10" fontId="0" fillId="2" borderId="10" xfId="2" applyNumberFormat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43" xfId="1" applyFont="1" applyFill="1" applyBorder="1" applyAlignment="1">
      <alignment horizontal="left" vertical="center"/>
    </xf>
    <xf numFmtId="0" fontId="5" fillId="5" borderId="3" xfId="1" applyFont="1" applyFill="1" applyBorder="1" applyAlignment="1">
      <alignment horizontal="left" vertical="center"/>
    </xf>
    <xf numFmtId="0" fontId="26" fillId="0" borderId="0" xfId="1" applyFont="1" applyAlignment="1">
      <alignment vertical="center"/>
    </xf>
    <xf numFmtId="0" fontId="1" fillId="2" borderId="17" xfId="1" applyFill="1" applyBorder="1" applyAlignment="1">
      <alignment horizontal="left" vertical="center"/>
    </xf>
    <xf numFmtId="0" fontId="1" fillId="2" borderId="0" xfId="1" applyFill="1" applyAlignment="1">
      <alignment horizontal="left" vertical="center"/>
    </xf>
    <xf numFmtId="166" fontId="0" fillId="2" borderId="1" xfId="3" applyNumberFormat="1" applyFont="1" applyFill="1" applyBorder="1" applyAlignment="1">
      <alignment horizontal="left" vertical="center"/>
    </xf>
    <xf numFmtId="0" fontId="0" fillId="2" borderId="10" xfId="2" applyNumberFormat="1" applyFont="1" applyFill="1" applyBorder="1" applyAlignment="1">
      <alignment horizontal="center" vertical="center"/>
    </xf>
    <xf numFmtId="166" fontId="9" fillId="29" borderId="1" xfId="3" applyNumberFormat="1" applyFont="1" applyFill="1" applyBorder="1" applyAlignment="1">
      <alignment horizontal="left" vertical="center"/>
    </xf>
    <xf numFmtId="0" fontId="1" fillId="2" borderId="8" xfId="1" applyFill="1" applyBorder="1" applyAlignment="1">
      <alignment horizontal="left" vertical="center"/>
    </xf>
    <xf numFmtId="0" fontId="1" fillId="2" borderId="10" xfId="1" applyFill="1" applyBorder="1" applyAlignment="1">
      <alignment horizontal="left" vertical="center"/>
    </xf>
    <xf numFmtId="166" fontId="0" fillId="2" borderId="9" xfId="3" applyNumberFormat="1" applyFont="1" applyFill="1" applyBorder="1" applyAlignment="1">
      <alignment horizontal="left" vertical="center"/>
    </xf>
    <xf numFmtId="0" fontId="5" fillId="5" borderId="7" xfId="1" applyFont="1" applyFill="1" applyBorder="1" applyAlignment="1">
      <alignment vertical="center"/>
    </xf>
    <xf numFmtId="0" fontId="5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vertical="center"/>
    </xf>
    <xf numFmtId="0" fontId="5" fillId="5" borderId="10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1" fillId="0" borderId="7" xfId="1" applyBorder="1" applyAlignment="1">
      <alignment vertical="center"/>
    </xf>
    <xf numFmtId="0" fontId="13" fillId="0" borderId="7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166" fontId="13" fillId="12" borderId="7" xfId="3" applyNumberFormat="1" applyFont="1" applyFill="1" applyBorder="1" applyAlignment="1">
      <alignment horizontal="center" vertical="center"/>
    </xf>
    <xf numFmtId="166" fontId="13" fillId="12" borderId="10" xfId="3" applyNumberFormat="1" applyFont="1" applyFill="1" applyBorder="1" applyAlignment="1">
      <alignment horizontal="center" vertical="center"/>
    </xf>
    <xf numFmtId="166" fontId="13" fillId="12" borderId="6" xfId="3" applyNumberFormat="1" applyFont="1" applyFill="1" applyBorder="1" applyAlignment="1">
      <alignment horizontal="center" vertical="center"/>
    </xf>
    <xf numFmtId="166" fontId="13" fillId="12" borderId="9" xfId="3" applyNumberFormat="1" applyFont="1" applyFill="1" applyBorder="1" applyAlignment="1">
      <alignment horizontal="center" vertical="center"/>
    </xf>
    <xf numFmtId="166" fontId="13" fillId="12" borderId="37" xfId="3" applyNumberFormat="1" applyFont="1" applyFill="1" applyBorder="1" applyAlignment="1">
      <alignment horizontal="center" vertical="center"/>
    </xf>
    <xf numFmtId="166" fontId="13" fillId="12" borderId="42" xfId="3" applyNumberFormat="1" applyFont="1" applyFill="1" applyBorder="1" applyAlignment="1">
      <alignment horizontal="center" vertical="center"/>
    </xf>
    <xf numFmtId="0" fontId="13" fillId="12" borderId="7" xfId="1" applyFont="1" applyFill="1" applyBorder="1" applyAlignment="1">
      <alignment horizontal="center" vertical="center" wrapText="1"/>
    </xf>
    <xf numFmtId="0" fontId="13" fillId="12" borderId="10" xfId="1" applyFont="1" applyFill="1" applyBorder="1" applyAlignment="1">
      <alignment horizontal="center" vertical="center" wrapText="1"/>
    </xf>
    <xf numFmtId="166" fontId="13" fillId="12" borderId="37" xfId="1" applyNumberFormat="1" applyFont="1" applyFill="1" applyBorder="1" applyAlignment="1">
      <alignment horizontal="center" vertical="center"/>
    </xf>
    <xf numFmtId="166" fontId="13" fillId="12" borderId="42" xfId="1" applyNumberFormat="1" applyFont="1" applyFill="1" applyBorder="1" applyAlignment="1">
      <alignment horizontal="center" vertical="center"/>
    </xf>
    <xf numFmtId="166" fontId="13" fillId="12" borderId="38" xfId="3" applyNumberFormat="1" applyFont="1" applyFill="1" applyBorder="1" applyAlignment="1">
      <alignment horizontal="center" vertical="center"/>
    </xf>
    <xf numFmtId="166" fontId="13" fillId="12" borderId="41" xfId="3" applyNumberFormat="1" applyFont="1" applyFill="1" applyBorder="1" applyAlignment="1">
      <alignment horizontal="center" vertical="center"/>
    </xf>
    <xf numFmtId="0" fontId="4" fillId="12" borderId="5" xfId="1" applyFont="1" applyFill="1" applyBorder="1" applyAlignment="1">
      <alignment horizontal="center" vertical="center"/>
    </xf>
    <xf numFmtId="0" fontId="4" fillId="12" borderId="8" xfId="1" applyFont="1" applyFill="1" applyBorder="1" applyAlignment="1">
      <alignment horizontal="center" vertical="center"/>
    </xf>
    <xf numFmtId="0" fontId="6" fillId="7" borderId="26" xfId="1" applyFont="1" applyFill="1" applyBorder="1" applyAlignment="1">
      <alignment horizontal="center" vertical="center" wrapText="1"/>
    </xf>
    <xf numFmtId="0" fontId="6" fillId="7" borderId="32" xfId="1" applyFont="1" applyFill="1" applyBorder="1" applyAlignment="1">
      <alignment horizontal="center" vertical="center" wrapText="1"/>
    </xf>
    <xf numFmtId="0" fontId="6" fillId="4" borderId="24" xfId="1" applyFont="1" applyFill="1" applyBorder="1" applyAlignment="1">
      <alignment horizontal="center" vertical="center" wrapText="1"/>
    </xf>
    <xf numFmtId="0" fontId="6" fillId="4" borderId="36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/>
    </xf>
    <xf numFmtId="0" fontId="6" fillId="10" borderId="20" xfId="1" applyFont="1" applyFill="1" applyBorder="1" applyAlignment="1">
      <alignment horizontal="center" vertical="center" wrapText="1"/>
    </xf>
    <xf numFmtId="0" fontId="6" fillId="10" borderId="32" xfId="1" applyFont="1" applyFill="1" applyBorder="1" applyAlignment="1">
      <alignment horizontal="center" vertical="center" wrapText="1"/>
    </xf>
    <xf numFmtId="0" fontId="6" fillId="10" borderId="27" xfId="1" applyFont="1" applyFill="1" applyBorder="1" applyAlignment="1">
      <alignment horizontal="center" vertical="center" wrapText="1"/>
    </xf>
    <xf numFmtId="0" fontId="6" fillId="10" borderId="33" xfId="1" applyFont="1" applyFill="1" applyBorder="1" applyAlignment="1">
      <alignment horizontal="center" vertical="center" wrapText="1"/>
    </xf>
    <xf numFmtId="0" fontId="6" fillId="7" borderId="23" xfId="1" applyFont="1" applyFill="1" applyBorder="1" applyAlignment="1">
      <alignment horizontal="center" vertical="center" wrapText="1"/>
    </xf>
    <xf numFmtId="0" fontId="6" fillId="7" borderId="35" xfId="1" applyFont="1" applyFill="1" applyBorder="1" applyAlignment="1">
      <alignment horizontal="center" vertical="center" wrapText="1"/>
    </xf>
    <xf numFmtId="0" fontId="7" fillId="4" borderId="13" xfId="1" applyFont="1" applyFill="1" applyBorder="1" applyAlignment="1">
      <alignment horizontal="center" vertical="center"/>
    </xf>
    <xf numFmtId="0" fontId="6" fillId="7" borderId="14" xfId="1" applyFont="1" applyFill="1" applyBorder="1" applyAlignment="1">
      <alignment horizontal="center" vertical="center"/>
    </xf>
    <xf numFmtId="0" fontId="6" fillId="7" borderId="7" xfId="1" applyFont="1" applyFill="1" applyBorder="1" applyAlignment="1">
      <alignment horizontal="center" vertical="center"/>
    </xf>
    <xf numFmtId="0" fontId="6" fillId="7" borderId="15" xfId="1" applyFont="1" applyFill="1" applyBorder="1" applyAlignment="1">
      <alignment horizontal="center" vertical="center"/>
    </xf>
    <xf numFmtId="0" fontId="6" fillId="7" borderId="21" xfId="1" applyFont="1" applyFill="1" applyBorder="1" applyAlignment="1">
      <alignment horizontal="center" vertical="center"/>
    </xf>
    <xf numFmtId="0" fontId="6" fillId="7" borderId="22" xfId="1" applyFont="1" applyFill="1" applyBorder="1" applyAlignment="1">
      <alignment horizontal="center" vertical="center"/>
    </xf>
    <xf numFmtId="0" fontId="6" fillId="7" borderId="23" xfId="1" applyFont="1" applyFill="1" applyBorder="1" applyAlignment="1">
      <alignment horizontal="center" vertical="center"/>
    </xf>
    <xf numFmtId="0" fontId="8" fillId="4" borderId="16" xfId="2" applyNumberFormat="1" applyFont="1" applyFill="1" applyBorder="1" applyAlignment="1">
      <alignment horizontal="center" vertical="center"/>
    </xf>
    <xf numFmtId="0" fontId="8" fillId="4" borderId="24" xfId="2" applyNumberFormat="1" applyFont="1" applyFill="1" applyBorder="1" applyAlignment="1">
      <alignment horizontal="center" vertical="center"/>
    </xf>
    <xf numFmtId="0" fontId="8" fillId="7" borderId="25" xfId="2" applyNumberFormat="1" applyFont="1" applyFill="1" applyBorder="1" applyAlignment="1">
      <alignment horizontal="center" vertical="center" wrapText="1"/>
    </xf>
    <xf numFmtId="0" fontId="8" fillId="7" borderId="31" xfId="2" applyNumberFormat="1" applyFont="1" applyFill="1" applyBorder="1" applyAlignment="1">
      <alignment horizontal="center" vertical="center" wrapText="1"/>
    </xf>
    <xf numFmtId="0" fontId="6" fillId="10" borderId="28" xfId="1" applyFont="1" applyFill="1" applyBorder="1" applyAlignment="1">
      <alignment horizontal="center" vertical="center" wrapText="1"/>
    </xf>
    <xf numFmtId="0" fontId="6" fillId="10" borderId="34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6" fillId="7" borderId="11" xfId="1" applyFont="1" applyFill="1" applyBorder="1" applyAlignment="1">
      <alignment horizontal="center" vertical="center" wrapText="1"/>
    </xf>
    <xf numFmtId="0" fontId="6" fillId="7" borderId="18" xfId="1" applyFont="1" applyFill="1" applyBorder="1" applyAlignment="1">
      <alignment horizontal="center" vertical="center" wrapText="1"/>
    </xf>
    <xf numFmtId="0" fontId="6" fillId="7" borderId="29" xfId="1" applyFont="1" applyFill="1" applyBorder="1" applyAlignment="1">
      <alignment horizontal="center" vertical="center" wrapText="1"/>
    </xf>
    <xf numFmtId="0" fontId="6" fillId="7" borderId="12" xfId="1" applyFont="1" applyFill="1" applyBorder="1" applyAlignment="1">
      <alignment horizontal="center" vertical="center" wrapText="1"/>
    </xf>
    <xf numFmtId="0" fontId="6" fillId="7" borderId="19" xfId="1" applyFont="1" applyFill="1" applyBorder="1" applyAlignment="1">
      <alignment horizontal="center" vertical="center" wrapText="1"/>
    </xf>
    <xf numFmtId="0" fontId="6" fillId="7" borderId="30" xfId="1" applyFont="1" applyFill="1" applyBorder="1" applyAlignment="1">
      <alignment horizontal="center" vertical="center" wrapText="1"/>
    </xf>
    <xf numFmtId="0" fontId="2" fillId="4" borderId="0" xfId="2" applyNumberFormat="1" applyFont="1" applyFill="1" applyBorder="1" applyAlignment="1">
      <alignment horizontal="center" vertical="center"/>
    </xf>
    <xf numFmtId="0" fontId="2" fillId="4" borderId="3" xfId="2" applyNumberFormat="1" applyFont="1" applyFill="1" applyBorder="1" applyAlignment="1">
      <alignment horizontal="center" vertical="center"/>
    </xf>
    <xf numFmtId="0" fontId="16" fillId="26" borderId="43" xfId="1" applyFont="1" applyFill="1" applyBorder="1" applyAlignment="1">
      <alignment horizontal="center" vertical="center"/>
    </xf>
    <xf numFmtId="0" fontId="16" fillId="26" borderId="44" xfId="1" applyFont="1" applyFill="1" applyBorder="1" applyAlignment="1">
      <alignment horizontal="center" vertical="center"/>
    </xf>
    <xf numFmtId="0" fontId="16" fillId="26" borderId="5" xfId="1" applyFont="1" applyFill="1" applyBorder="1" applyAlignment="1">
      <alignment horizontal="center" vertical="center"/>
    </xf>
    <xf numFmtId="0" fontId="16" fillId="26" borderId="7" xfId="1" applyFont="1" applyFill="1" applyBorder="1" applyAlignment="1">
      <alignment horizontal="center" vertical="center"/>
    </xf>
    <xf numFmtId="0" fontId="16" fillId="26" borderId="6" xfId="1" applyFont="1" applyFill="1" applyBorder="1" applyAlignment="1">
      <alignment horizontal="center" vertical="center"/>
    </xf>
    <xf numFmtId="0" fontId="16" fillId="26" borderId="8" xfId="1" applyFont="1" applyFill="1" applyBorder="1" applyAlignment="1">
      <alignment horizontal="center" vertical="center"/>
    </xf>
    <xf numFmtId="0" fontId="16" fillId="26" borderId="10" xfId="1" applyFont="1" applyFill="1" applyBorder="1" applyAlignment="1">
      <alignment horizontal="center" vertical="center"/>
    </xf>
    <xf numFmtId="0" fontId="16" fillId="26" borderId="9" xfId="1" applyFont="1" applyFill="1" applyBorder="1" applyAlignment="1">
      <alignment horizontal="center" vertical="center"/>
    </xf>
    <xf numFmtId="0" fontId="25" fillId="5" borderId="43" xfId="1" applyFont="1" applyFill="1" applyBorder="1" applyAlignment="1">
      <alignment horizontal="center" vertical="center"/>
    </xf>
    <xf numFmtId="0" fontId="25" fillId="5" borderId="44" xfId="1" applyFont="1" applyFill="1" applyBorder="1" applyAlignment="1">
      <alignment horizontal="center" vertical="center"/>
    </xf>
    <xf numFmtId="0" fontId="16" fillId="9" borderId="43" xfId="1" applyFont="1" applyFill="1" applyBorder="1" applyAlignment="1">
      <alignment horizontal="center" vertical="center"/>
    </xf>
    <xf numFmtId="0" fontId="16" fillId="9" borderId="3" xfId="1" applyFont="1" applyFill="1" applyBorder="1" applyAlignment="1">
      <alignment horizontal="center" vertical="center"/>
    </xf>
    <xf numFmtId="0" fontId="16" fillId="9" borderId="44" xfId="1" applyFont="1" applyFill="1" applyBorder="1" applyAlignment="1">
      <alignment horizontal="center" vertical="center"/>
    </xf>
    <xf numFmtId="0" fontId="38" fillId="23" borderId="5" xfId="1" applyFont="1" applyFill="1" applyBorder="1" applyAlignment="1">
      <alignment horizontal="center" vertical="center"/>
    </xf>
    <xf numFmtId="0" fontId="38" fillId="23" borderId="7" xfId="1" applyFont="1" applyFill="1" applyBorder="1" applyAlignment="1">
      <alignment horizontal="center" vertical="center"/>
    </xf>
    <xf numFmtId="0" fontId="38" fillId="23" borderId="6" xfId="1" applyFont="1" applyFill="1" applyBorder="1" applyAlignment="1">
      <alignment horizontal="center" vertical="center"/>
    </xf>
    <xf numFmtId="0" fontId="38" fillId="23" borderId="8" xfId="1" applyFont="1" applyFill="1" applyBorder="1" applyAlignment="1">
      <alignment horizontal="center" vertical="center"/>
    </xf>
    <xf numFmtId="0" fontId="38" fillId="23" borderId="10" xfId="1" applyFont="1" applyFill="1" applyBorder="1" applyAlignment="1">
      <alignment horizontal="center" vertical="center"/>
    </xf>
    <xf numFmtId="0" fontId="38" fillId="23" borderId="9" xfId="1" applyFont="1" applyFill="1" applyBorder="1" applyAlignment="1">
      <alignment horizontal="center" vertical="center"/>
    </xf>
    <xf numFmtId="0" fontId="26" fillId="5" borderId="43" xfId="1" applyFont="1" applyFill="1" applyBorder="1" applyAlignment="1">
      <alignment horizontal="left" vertical="center"/>
    </xf>
    <xf numFmtId="0" fontId="26" fillId="5" borderId="44" xfId="1" applyFont="1" applyFill="1" applyBorder="1" applyAlignment="1">
      <alignment horizontal="left" vertical="center"/>
    </xf>
    <xf numFmtId="0" fontId="7" fillId="26" borderId="76" xfId="1" applyFont="1" applyFill="1" applyBorder="1" applyAlignment="1">
      <alignment horizontal="center" vertical="center" wrapText="1"/>
    </xf>
    <xf numFmtId="0" fontId="7" fillId="26" borderId="2" xfId="1" applyFont="1" applyFill="1" applyBorder="1" applyAlignment="1">
      <alignment horizontal="center" vertical="center" wrapText="1"/>
    </xf>
    <xf numFmtId="0" fontId="7" fillId="26" borderId="78" xfId="1" applyFont="1" applyFill="1" applyBorder="1" applyAlignment="1">
      <alignment horizontal="center" vertical="center" wrapText="1"/>
    </xf>
    <xf numFmtId="0" fontId="16" fillId="26" borderId="73" xfId="1" applyFont="1" applyFill="1" applyBorder="1" applyAlignment="1">
      <alignment horizontal="center" vertical="center"/>
    </xf>
    <xf numFmtId="0" fontId="16" fillId="26" borderId="81" xfId="1" applyFont="1" applyFill="1" applyBorder="1" applyAlignment="1">
      <alignment horizontal="center" vertical="center"/>
    </xf>
    <xf numFmtId="0" fontId="25" fillId="16" borderId="43" xfId="1" applyFont="1" applyFill="1" applyBorder="1" applyAlignment="1">
      <alignment horizontal="center" vertical="center"/>
    </xf>
    <xf numFmtId="0" fontId="25" fillId="16" borderId="44" xfId="1" applyFont="1" applyFill="1" applyBorder="1" applyAlignment="1">
      <alignment horizontal="center" vertical="center"/>
    </xf>
    <xf numFmtId="166" fontId="13" fillId="24" borderId="7" xfId="3" applyNumberFormat="1" applyFont="1" applyFill="1" applyBorder="1" applyAlignment="1">
      <alignment horizontal="center" vertical="center"/>
    </xf>
    <xf numFmtId="166" fontId="13" fillId="24" borderId="10" xfId="3" applyNumberFormat="1" applyFont="1" applyFill="1" applyBorder="1" applyAlignment="1">
      <alignment horizontal="center" vertical="center"/>
    </xf>
    <xf numFmtId="166" fontId="13" fillId="24" borderId="38" xfId="3" applyNumberFormat="1" applyFont="1" applyFill="1" applyBorder="1" applyAlignment="1">
      <alignment horizontal="center" vertical="center"/>
    </xf>
    <xf numFmtId="166" fontId="13" fillId="24" borderId="41" xfId="3" applyNumberFormat="1" applyFont="1" applyFill="1" applyBorder="1" applyAlignment="1">
      <alignment horizontal="center" vertical="center"/>
    </xf>
    <xf numFmtId="166" fontId="13" fillId="24" borderId="6" xfId="3" applyNumberFormat="1" applyFont="1" applyFill="1" applyBorder="1" applyAlignment="1">
      <alignment horizontal="center" vertical="center"/>
    </xf>
    <xf numFmtId="166" fontId="13" fillId="24" borderId="9" xfId="3" applyNumberFormat="1" applyFont="1" applyFill="1" applyBorder="1" applyAlignment="1">
      <alignment horizontal="center" vertical="center"/>
    </xf>
    <xf numFmtId="0" fontId="4" fillId="25" borderId="8" xfId="1" applyFont="1" applyFill="1" applyBorder="1" applyAlignment="1">
      <alignment horizontal="center" vertical="center"/>
    </xf>
    <xf numFmtId="0" fontId="4" fillId="25" borderId="10" xfId="1" applyFont="1" applyFill="1" applyBorder="1" applyAlignment="1">
      <alignment horizontal="center" vertical="center"/>
    </xf>
    <xf numFmtId="166" fontId="13" fillId="24" borderId="6" xfId="1" applyNumberFormat="1" applyFont="1" applyFill="1" applyBorder="1" applyAlignment="1">
      <alignment horizontal="center" vertical="center"/>
    </xf>
    <xf numFmtId="166" fontId="13" fillId="24" borderId="9" xfId="1" applyNumberFormat="1" applyFont="1" applyFill="1" applyBorder="1" applyAlignment="1">
      <alignment horizontal="center" vertical="center"/>
    </xf>
    <xf numFmtId="166" fontId="13" fillId="24" borderId="76" xfId="3" applyNumberFormat="1" applyFont="1" applyFill="1" applyBorder="1" applyAlignment="1">
      <alignment horizontal="center" vertical="center"/>
    </xf>
    <xf numFmtId="166" fontId="13" fillId="24" borderId="78" xfId="3" applyNumberFormat="1" applyFont="1" applyFill="1" applyBorder="1" applyAlignment="1">
      <alignment horizontal="center" vertical="center"/>
    </xf>
    <xf numFmtId="166" fontId="13" fillId="24" borderId="77" xfId="3" applyNumberFormat="1" applyFont="1" applyFill="1" applyBorder="1" applyAlignment="1">
      <alignment horizontal="center" vertical="center"/>
    </xf>
    <xf numFmtId="166" fontId="13" fillId="24" borderId="79" xfId="3" applyNumberFormat="1" applyFont="1" applyFill="1" applyBorder="1" applyAlignment="1">
      <alignment horizontal="center" vertical="center"/>
    </xf>
    <xf numFmtId="0" fontId="9" fillId="24" borderId="7" xfId="1" applyFont="1" applyFill="1" applyBorder="1" applyAlignment="1">
      <alignment horizontal="center" vertical="center"/>
    </xf>
    <xf numFmtId="0" fontId="9" fillId="24" borderId="10" xfId="1" applyFont="1" applyFill="1" applyBorder="1" applyAlignment="1">
      <alignment horizontal="center" vertical="center"/>
    </xf>
    <xf numFmtId="166" fontId="13" fillId="24" borderId="5" xfId="3" applyNumberFormat="1" applyFont="1" applyFill="1" applyBorder="1" applyAlignment="1">
      <alignment horizontal="center" vertical="center"/>
    </xf>
    <xf numFmtId="166" fontId="13" fillId="24" borderId="8" xfId="3" applyNumberFormat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4" xfId="1" applyFont="1" applyFill="1" applyBorder="1" applyAlignment="1">
      <alignment horizontal="center" vertical="center"/>
    </xf>
    <xf numFmtId="0" fontId="4" fillId="24" borderId="76" xfId="1" applyFont="1" applyFill="1" applyBorder="1" applyAlignment="1">
      <alignment horizontal="center" vertical="center"/>
    </xf>
    <xf numFmtId="0" fontId="4" fillId="24" borderId="78" xfId="1" applyFont="1" applyFill="1" applyBorder="1" applyAlignment="1">
      <alignment horizontal="center" vertical="center"/>
    </xf>
    <xf numFmtId="0" fontId="4" fillId="25" borderId="5" xfId="1" applyFont="1" applyFill="1" applyBorder="1" applyAlignment="1">
      <alignment horizontal="center" vertical="center"/>
    </xf>
    <xf numFmtId="0" fontId="4" fillId="25" borderId="7" xfId="1" applyFont="1" applyFill="1" applyBorder="1" applyAlignment="1">
      <alignment horizontal="center" vertical="center"/>
    </xf>
    <xf numFmtId="0" fontId="24" fillId="9" borderId="5" xfId="1" applyFont="1" applyFill="1" applyBorder="1" applyAlignment="1">
      <alignment horizontal="left" vertical="center"/>
    </xf>
    <xf numFmtId="0" fontId="24" fillId="9" borderId="6" xfId="1" applyFont="1" applyFill="1" applyBorder="1" applyAlignment="1">
      <alignment horizontal="left" vertical="center"/>
    </xf>
    <xf numFmtId="0" fontId="27" fillId="7" borderId="0" xfId="1" applyFont="1" applyFill="1" applyAlignment="1">
      <alignment horizontal="left" vertical="center"/>
    </xf>
    <xf numFmtId="0" fontId="24" fillId="9" borderId="43" xfId="1" applyFont="1" applyFill="1" applyBorder="1" applyAlignment="1">
      <alignment horizontal="left" vertical="center"/>
    </xf>
    <xf numFmtId="0" fontId="24" fillId="9" borderId="44" xfId="1" applyFont="1" applyFill="1" applyBorder="1" applyAlignment="1">
      <alignment horizontal="left" vertical="center"/>
    </xf>
    <xf numFmtId="0" fontId="6" fillId="13" borderId="66" xfId="1" applyFont="1" applyFill="1" applyBorder="1" applyAlignment="1">
      <alignment horizontal="center" vertical="center" wrapText="1"/>
    </xf>
    <xf numFmtId="0" fontId="6" fillId="13" borderId="69" xfId="1" applyFont="1" applyFill="1" applyBorder="1" applyAlignment="1">
      <alignment horizontal="center" vertical="center" wrapText="1"/>
    </xf>
    <xf numFmtId="0" fontId="6" fillId="13" borderId="75" xfId="1" applyFont="1" applyFill="1" applyBorder="1" applyAlignment="1">
      <alignment horizontal="center" vertical="center" wrapText="1"/>
    </xf>
    <xf numFmtId="0" fontId="6" fillId="13" borderId="28" xfId="1" applyFont="1" applyFill="1" applyBorder="1" applyAlignment="1">
      <alignment horizontal="center" vertical="center" wrapText="1"/>
    </xf>
    <xf numFmtId="0" fontId="6" fillId="13" borderId="71" xfId="1" applyFont="1" applyFill="1" applyBorder="1" applyAlignment="1">
      <alignment horizontal="center" vertical="center" wrapText="1"/>
    </xf>
    <xf numFmtId="0" fontId="6" fillId="13" borderId="34" xfId="1" applyFont="1" applyFill="1" applyBorder="1" applyAlignment="1">
      <alignment horizontal="center" vertical="center" wrapText="1"/>
    </xf>
    <xf numFmtId="0" fontId="6" fillId="13" borderId="20" xfId="1" applyFont="1" applyFill="1" applyBorder="1" applyAlignment="1">
      <alignment horizontal="center" vertical="center" wrapText="1"/>
    </xf>
    <xf numFmtId="0" fontId="6" fillId="13" borderId="60" xfId="1" applyFont="1" applyFill="1" applyBorder="1" applyAlignment="1">
      <alignment horizontal="center" vertical="center" wrapText="1"/>
    </xf>
    <xf numFmtId="0" fontId="6" fillId="13" borderId="32" xfId="1" applyFont="1" applyFill="1" applyBorder="1" applyAlignment="1">
      <alignment horizontal="center" vertical="center" wrapText="1"/>
    </xf>
    <xf numFmtId="0" fontId="6" fillId="13" borderId="24" xfId="1" applyFont="1" applyFill="1" applyBorder="1" applyAlignment="1">
      <alignment horizontal="center" vertical="center" wrapText="1"/>
    </xf>
    <xf numFmtId="0" fontId="6" fillId="13" borderId="63" xfId="1" applyFont="1" applyFill="1" applyBorder="1" applyAlignment="1">
      <alignment horizontal="center" vertical="center" wrapText="1"/>
    </xf>
    <xf numFmtId="0" fontId="6" fillId="13" borderId="36" xfId="1" applyFont="1" applyFill="1" applyBorder="1" applyAlignment="1">
      <alignment horizontal="center" vertical="center" wrapText="1"/>
    </xf>
    <xf numFmtId="0" fontId="6" fillId="15" borderId="60" xfId="1" applyFont="1" applyFill="1" applyBorder="1" applyAlignment="1">
      <alignment horizontal="center" vertical="center" wrapText="1"/>
    </xf>
    <xf numFmtId="0" fontId="6" fillId="15" borderId="30" xfId="1" applyFont="1" applyFill="1" applyBorder="1" applyAlignment="1">
      <alignment horizontal="center" vertical="center" wrapText="1"/>
    </xf>
    <xf numFmtId="0" fontId="6" fillId="15" borderId="20" xfId="1" applyFont="1" applyFill="1" applyBorder="1" applyAlignment="1">
      <alignment horizontal="center" vertical="center" wrapText="1"/>
    </xf>
    <xf numFmtId="0" fontId="6" fillId="15" borderId="32" xfId="1" applyFont="1" applyFill="1" applyBorder="1" applyAlignment="1">
      <alignment horizontal="center" vertical="center" wrapText="1"/>
    </xf>
    <xf numFmtId="0" fontId="6" fillId="13" borderId="30" xfId="1" applyFont="1" applyFill="1" applyBorder="1" applyAlignment="1">
      <alignment horizontal="center" vertical="center" wrapText="1"/>
    </xf>
    <xf numFmtId="0" fontId="23" fillId="21" borderId="19" xfId="1" applyFont="1" applyFill="1" applyBorder="1" applyAlignment="1">
      <alignment horizontal="center" vertical="center" wrapText="1"/>
    </xf>
    <xf numFmtId="0" fontId="23" fillId="21" borderId="30" xfId="1" applyFont="1" applyFill="1" applyBorder="1" applyAlignment="1">
      <alignment horizontal="center" vertical="center" wrapText="1"/>
    </xf>
    <xf numFmtId="0" fontId="6" fillId="15" borderId="63" xfId="1" applyFont="1" applyFill="1" applyBorder="1" applyAlignment="1">
      <alignment horizontal="center" vertical="center" wrapText="1"/>
    </xf>
    <xf numFmtId="0" fontId="6" fillId="15" borderId="67" xfId="1" applyFont="1" applyFill="1" applyBorder="1" applyAlignment="1">
      <alignment horizontal="center" vertical="center" wrapText="1"/>
    </xf>
    <xf numFmtId="0" fontId="6" fillId="15" borderId="72" xfId="1" applyFont="1" applyFill="1" applyBorder="1" applyAlignment="1">
      <alignment horizontal="center" vertical="center" wrapText="1"/>
    </xf>
    <xf numFmtId="0" fontId="6" fillId="13" borderId="54" xfId="1" applyFont="1" applyFill="1" applyBorder="1" applyAlignment="1">
      <alignment horizontal="center" vertical="center" wrapText="1"/>
    </xf>
    <xf numFmtId="0" fontId="6" fillId="13" borderId="70" xfId="1" applyFont="1" applyFill="1" applyBorder="1" applyAlignment="1">
      <alignment horizontal="center" vertical="center" wrapText="1"/>
    </xf>
    <xf numFmtId="0" fontId="6" fillId="13" borderId="73" xfId="1" applyFont="1" applyFill="1" applyBorder="1" applyAlignment="1">
      <alignment horizontal="center" vertical="center" wrapText="1"/>
    </xf>
    <xf numFmtId="0" fontId="6" fillId="13" borderId="64" xfId="1" applyFont="1" applyFill="1" applyBorder="1" applyAlignment="1">
      <alignment horizontal="center" vertical="center" wrapText="1"/>
    </xf>
    <xf numFmtId="0" fontId="6" fillId="13" borderId="68" xfId="1" applyFont="1" applyFill="1" applyBorder="1" applyAlignment="1">
      <alignment horizontal="center" vertical="center" wrapText="1"/>
    </xf>
    <xf numFmtId="0" fontId="6" fillId="13" borderId="74" xfId="1" applyFont="1" applyFill="1" applyBorder="1" applyAlignment="1">
      <alignment horizontal="center" vertical="center" wrapText="1"/>
    </xf>
    <xf numFmtId="0" fontId="6" fillId="13" borderId="65" xfId="1" applyFont="1" applyFill="1" applyBorder="1" applyAlignment="1">
      <alignment horizontal="center" vertical="center" wrapText="1"/>
    </xf>
    <xf numFmtId="0" fontId="6" fillId="13" borderId="0" xfId="1" applyFont="1" applyFill="1" applyAlignment="1">
      <alignment horizontal="center" vertical="center" wrapText="1"/>
    </xf>
    <xf numFmtId="0" fontId="6" fillId="13" borderId="10" xfId="1" applyFont="1" applyFill="1" applyBorder="1" applyAlignment="1">
      <alignment horizontal="center" vertical="center" wrapText="1"/>
    </xf>
    <xf numFmtId="0" fontId="6" fillId="22" borderId="60" xfId="1" applyFont="1" applyFill="1" applyBorder="1" applyAlignment="1">
      <alignment horizontal="center" vertical="center" wrapText="1"/>
    </xf>
    <xf numFmtId="0" fontId="6" fillId="22" borderId="19" xfId="1" applyFont="1" applyFill="1" applyBorder="1" applyAlignment="1">
      <alignment horizontal="center" vertical="center" wrapText="1"/>
    </xf>
    <xf numFmtId="0" fontId="6" fillId="22" borderId="30" xfId="1" applyFont="1" applyFill="1" applyBorder="1" applyAlignment="1">
      <alignment horizontal="center" vertical="center" wrapText="1"/>
    </xf>
    <xf numFmtId="0" fontId="6" fillId="21" borderId="60" xfId="1" applyFont="1" applyFill="1" applyBorder="1" applyAlignment="1">
      <alignment horizontal="center" vertical="center" wrapText="1"/>
    </xf>
    <xf numFmtId="0" fontId="6" fillId="21" borderId="19" xfId="1" applyFont="1" applyFill="1" applyBorder="1" applyAlignment="1">
      <alignment horizontal="center" vertical="center" wrapText="1"/>
    </xf>
    <xf numFmtId="0" fontId="6" fillId="21" borderId="30" xfId="1" applyFont="1" applyFill="1" applyBorder="1" applyAlignment="1">
      <alignment horizontal="center" vertical="center" wrapText="1"/>
    </xf>
    <xf numFmtId="0" fontId="6" fillId="13" borderId="19" xfId="1" applyFont="1" applyFill="1" applyBorder="1" applyAlignment="1">
      <alignment horizontal="center" vertical="center" wrapText="1"/>
    </xf>
    <xf numFmtId="0" fontId="6" fillId="15" borderId="19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left" vertical="center" indent="1"/>
    </xf>
    <xf numFmtId="0" fontId="18" fillId="3" borderId="6" xfId="1" applyFont="1" applyFill="1" applyBorder="1" applyAlignment="1">
      <alignment horizontal="left" vertical="center" indent="1"/>
    </xf>
    <xf numFmtId="0" fontId="18" fillId="3" borderId="8" xfId="1" applyFont="1" applyFill="1" applyBorder="1" applyAlignment="1">
      <alignment horizontal="left" vertical="center" indent="1"/>
    </xf>
    <xf numFmtId="0" fontId="18" fillId="3" borderId="9" xfId="1" applyFont="1" applyFill="1" applyBorder="1" applyAlignment="1">
      <alignment horizontal="left" vertical="center" indent="1"/>
    </xf>
    <xf numFmtId="0" fontId="6" fillId="15" borderId="59" xfId="1" applyFont="1" applyFill="1" applyBorder="1" applyAlignment="1">
      <alignment horizontal="center" vertical="center" wrapText="1"/>
    </xf>
    <xf numFmtId="0" fontId="6" fillId="15" borderId="18" xfId="1" applyFont="1" applyFill="1" applyBorder="1" applyAlignment="1">
      <alignment horizontal="center" vertical="center" wrapText="1"/>
    </xf>
    <xf numFmtId="0" fontId="6" fillId="15" borderId="29" xfId="1" applyFont="1" applyFill="1" applyBorder="1" applyAlignment="1">
      <alignment horizontal="center" vertical="center" wrapText="1"/>
    </xf>
    <xf numFmtId="0" fontId="19" fillId="20" borderId="61" xfId="1" applyFont="1" applyFill="1" applyBorder="1" applyAlignment="1">
      <alignment horizontal="center" vertical="center" wrapText="1"/>
    </xf>
    <xf numFmtId="0" fontId="19" fillId="20" borderId="62" xfId="1" applyFont="1" applyFill="1" applyBorder="1" applyAlignment="1">
      <alignment horizontal="center" vertical="center" wrapText="1"/>
    </xf>
    <xf numFmtId="0" fontId="19" fillId="20" borderId="21" xfId="1" applyFont="1" applyFill="1" applyBorder="1" applyAlignment="1">
      <alignment horizontal="center" vertical="center" wrapText="1"/>
    </xf>
    <xf numFmtId="0" fontId="19" fillId="20" borderId="23" xfId="1" applyFont="1" applyFill="1" applyBorder="1" applyAlignment="1">
      <alignment horizontal="center" vertical="center" wrapText="1"/>
    </xf>
    <xf numFmtId="0" fontId="14" fillId="11" borderId="43" xfId="1" applyFont="1" applyFill="1" applyBorder="1" applyAlignment="1">
      <alignment horizontal="left" vertical="center"/>
    </xf>
    <xf numFmtId="0" fontId="14" fillId="11" borderId="3" xfId="1" applyFont="1" applyFill="1" applyBorder="1" applyAlignment="1">
      <alignment horizontal="left" vertical="center"/>
    </xf>
    <xf numFmtId="0" fontId="14" fillId="11" borderId="44" xfId="1" applyFont="1" applyFill="1" applyBorder="1" applyAlignment="1">
      <alignment horizontal="left" vertical="center"/>
    </xf>
    <xf numFmtId="0" fontId="15" fillId="3" borderId="5" xfId="1" applyFont="1" applyFill="1" applyBorder="1" applyAlignment="1">
      <alignment horizontal="right" vertical="center" wrapText="1" indent="1"/>
    </xf>
    <xf numFmtId="0" fontId="15" fillId="3" borderId="6" xfId="1" applyFont="1" applyFill="1" applyBorder="1" applyAlignment="1">
      <alignment horizontal="right" vertical="center" wrapText="1" indent="1"/>
    </xf>
    <xf numFmtId="0" fontId="15" fillId="3" borderId="8" xfId="1" applyFont="1" applyFill="1" applyBorder="1" applyAlignment="1">
      <alignment horizontal="right" vertical="center" wrapText="1" indent="1"/>
    </xf>
    <xf numFmtId="0" fontId="15" fillId="3" borderId="9" xfId="1" applyFont="1" applyFill="1" applyBorder="1" applyAlignment="1">
      <alignment horizontal="right" vertical="center" wrapText="1" indent="1"/>
    </xf>
    <xf numFmtId="0" fontId="6" fillId="13" borderId="45" xfId="1" applyFont="1" applyFill="1" applyBorder="1" applyAlignment="1">
      <alignment horizontal="center" vertical="center" wrapText="1"/>
    </xf>
    <xf numFmtId="0" fontId="6" fillId="13" borderId="46" xfId="1" applyFont="1" applyFill="1" applyBorder="1" applyAlignment="1">
      <alignment horizontal="center" vertical="center" wrapText="1"/>
    </xf>
    <xf numFmtId="0" fontId="6" fillId="13" borderId="7" xfId="1" applyFont="1" applyFill="1" applyBorder="1" applyAlignment="1">
      <alignment horizontal="center" vertical="center" wrapText="1"/>
    </xf>
    <xf numFmtId="0" fontId="6" fillId="13" borderId="47" xfId="1" applyFont="1" applyFill="1" applyBorder="1" applyAlignment="1">
      <alignment horizontal="center" vertical="center" wrapText="1"/>
    </xf>
    <xf numFmtId="0" fontId="6" fillId="13" borderId="55" xfId="1" applyFont="1" applyFill="1" applyBorder="1" applyAlignment="1">
      <alignment horizontal="center" vertical="center" wrapText="1"/>
    </xf>
    <xf numFmtId="0" fontId="6" fillId="13" borderId="22" xfId="1" applyFont="1" applyFill="1" applyBorder="1" applyAlignment="1">
      <alignment horizontal="center" vertical="center" wrapText="1"/>
    </xf>
    <xf numFmtId="0" fontId="6" fillId="13" borderId="56" xfId="1" applyFont="1" applyFill="1" applyBorder="1" applyAlignment="1">
      <alignment horizontal="center" vertical="center" wrapText="1"/>
    </xf>
    <xf numFmtId="0" fontId="6" fillId="14" borderId="48" xfId="1" applyFont="1" applyFill="1" applyBorder="1" applyAlignment="1">
      <alignment horizontal="center" vertical="center"/>
    </xf>
    <xf numFmtId="0" fontId="6" fillId="14" borderId="13" xfId="1" applyFont="1" applyFill="1" applyBorder="1" applyAlignment="1">
      <alignment horizontal="center" vertical="center"/>
    </xf>
    <xf numFmtId="0" fontId="6" fillId="14" borderId="16" xfId="1" applyFont="1" applyFill="1" applyBorder="1" applyAlignment="1">
      <alignment horizontal="center" vertical="center"/>
    </xf>
    <xf numFmtId="0" fontId="6" fillId="14" borderId="28" xfId="1" applyFont="1" applyFill="1" applyBorder="1" applyAlignment="1">
      <alignment horizontal="center" vertical="center"/>
    </xf>
    <xf numFmtId="0" fontId="6" fillId="14" borderId="20" xfId="1" applyFont="1" applyFill="1" applyBorder="1" applyAlignment="1">
      <alignment horizontal="center" vertical="center"/>
    </xf>
    <xf numFmtId="0" fontId="6" fillId="14" borderId="24" xfId="1" applyFont="1" applyFill="1" applyBorder="1" applyAlignment="1">
      <alignment horizontal="center" vertical="center"/>
    </xf>
    <xf numFmtId="0" fontId="6" fillId="15" borderId="49" xfId="1" applyFont="1" applyFill="1" applyBorder="1" applyAlignment="1">
      <alignment horizontal="center" vertical="center"/>
    </xf>
    <xf numFmtId="0" fontId="6" fillId="15" borderId="50" xfId="1" applyFont="1" applyFill="1" applyBorder="1" applyAlignment="1">
      <alignment horizontal="center" vertical="center"/>
    </xf>
    <xf numFmtId="0" fontId="6" fillId="13" borderId="51" xfId="1" applyFont="1" applyFill="1" applyBorder="1" applyAlignment="1">
      <alignment horizontal="center" vertical="center"/>
    </xf>
    <xf numFmtId="0" fontId="6" fillId="13" borderId="49" xfId="1" applyFont="1" applyFill="1" applyBorder="1" applyAlignment="1">
      <alignment horizontal="center" vertical="center"/>
    </xf>
    <xf numFmtId="0" fontId="6" fillId="13" borderId="52" xfId="1" applyFont="1" applyFill="1" applyBorder="1" applyAlignment="1">
      <alignment horizontal="center" vertical="center"/>
    </xf>
    <xf numFmtId="0" fontId="13" fillId="5" borderId="5" xfId="1" applyFont="1" applyFill="1" applyBorder="1" applyAlignment="1">
      <alignment horizontal="left" vertical="center"/>
    </xf>
    <xf numFmtId="0" fontId="13" fillId="5" borderId="8" xfId="1" applyFont="1" applyFill="1" applyBorder="1" applyAlignment="1">
      <alignment horizontal="left" vertical="center"/>
    </xf>
    <xf numFmtId="0" fontId="5" fillId="5" borderId="43" xfId="1" applyFont="1" applyFill="1" applyBorder="1" applyAlignment="1">
      <alignment horizontal="center" vertical="center"/>
    </xf>
    <xf numFmtId="0" fontId="5" fillId="5" borderId="44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85" xfId="1" applyFont="1" applyFill="1" applyBorder="1" applyAlignment="1">
      <alignment horizontal="center" vertical="center"/>
    </xf>
    <xf numFmtId="0" fontId="5" fillId="8" borderId="43" xfId="1" applyFont="1" applyFill="1" applyBorder="1" applyAlignment="1">
      <alignment horizontal="center" vertical="center"/>
    </xf>
    <xf numFmtId="0" fontId="5" fillId="8" borderId="44" xfId="1" applyFont="1" applyFill="1" applyBorder="1" applyAlignment="1">
      <alignment horizontal="center" vertical="center"/>
    </xf>
    <xf numFmtId="14" fontId="6" fillId="9" borderId="85" xfId="1" applyNumberFormat="1" applyFont="1" applyFill="1" applyBorder="1" applyAlignment="1">
      <alignment horizontal="center" vertical="center"/>
    </xf>
    <xf numFmtId="0" fontId="6" fillId="9" borderId="85" xfId="1" applyFont="1" applyFill="1" applyBorder="1" applyAlignment="1">
      <alignment horizontal="center" vertical="center"/>
    </xf>
    <xf numFmtId="0" fontId="5" fillId="5" borderId="76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78" xfId="1" applyFont="1" applyFill="1" applyBorder="1" applyAlignment="1">
      <alignment horizontal="center" vertical="center"/>
    </xf>
    <xf numFmtId="0" fontId="5" fillId="28" borderId="5" xfId="1" applyFont="1" applyFill="1" applyBorder="1" applyAlignment="1">
      <alignment horizontal="center" vertical="center"/>
    </xf>
    <xf numFmtId="0" fontId="5" fillId="28" borderId="17" xfId="1" applyFont="1" applyFill="1" applyBorder="1" applyAlignment="1">
      <alignment horizontal="center" vertical="center"/>
    </xf>
    <xf numFmtId="0" fontId="5" fillId="28" borderId="8" xfId="1" applyFont="1" applyFill="1" applyBorder="1" applyAlignment="1">
      <alignment horizontal="center" vertical="center"/>
    </xf>
    <xf numFmtId="0" fontId="5" fillId="28" borderId="7" xfId="1" applyFont="1" applyFill="1" applyBorder="1" applyAlignment="1">
      <alignment horizontal="center" vertical="center"/>
    </xf>
    <xf numFmtId="0" fontId="5" fillId="28" borderId="0" xfId="1" applyFont="1" applyFill="1" applyAlignment="1">
      <alignment horizontal="center" vertical="center"/>
    </xf>
    <xf numFmtId="0" fontId="5" fillId="28" borderId="10" xfId="1" applyFont="1" applyFill="1" applyBorder="1" applyAlignment="1">
      <alignment horizontal="center" vertical="center"/>
    </xf>
    <xf numFmtId="0" fontId="5" fillId="28" borderId="6" xfId="1" applyFont="1" applyFill="1" applyBorder="1" applyAlignment="1">
      <alignment horizontal="center" vertical="center"/>
    </xf>
    <xf numFmtId="0" fontId="5" fillId="28" borderId="1" xfId="1" applyFont="1" applyFill="1" applyBorder="1" applyAlignment="1">
      <alignment horizontal="center" vertical="center"/>
    </xf>
    <xf numFmtId="0" fontId="5" fillId="28" borderId="9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/>
    </xf>
    <xf numFmtId="0" fontId="6" fillId="21" borderId="43" xfId="1" applyFont="1" applyFill="1" applyBorder="1" applyAlignment="1">
      <alignment horizontal="center" vertical="center"/>
    </xf>
    <xf numFmtId="0" fontId="6" fillId="21" borderId="3" xfId="1" applyFont="1" applyFill="1" applyBorder="1" applyAlignment="1">
      <alignment horizontal="center" vertical="center"/>
    </xf>
    <xf numFmtId="0" fontId="6" fillId="21" borderId="44" xfId="1" applyFont="1" applyFill="1" applyBorder="1" applyAlignment="1">
      <alignment horizontal="center" vertical="center"/>
    </xf>
    <xf numFmtId="0" fontId="6" fillId="9" borderId="85" xfId="1" applyFont="1" applyFill="1" applyBorder="1" applyAlignment="1">
      <alignment horizontal="right" vertical="center" indent="1"/>
    </xf>
  </cellXfs>
  <cellStyles count="6">
    <cellStyle name="Comma 2" xfId="3" xr:uid="{6628C87C-D0AA-4A76-BD6F-3662FA992F19}"/>
    <cellStyle name="Hyperlink 2" xfId="5" xr:uid="{71B5AFD2-D042-4381-88BC-7C1C7426CB0B}"/>
    <cellStyle name="Normal" xfId="0" builtinId="0"/>
    <cellStyle name="Normal 2" xfId="1" xr:uid="{64C0F0E6-7C7C-4287-92CA-21ED5CF8EF39}"/>
    <cellStyle name="Normal 27" xfId="4" xr:uid="{BC6A0C7A-14D7-4EEC-8DDE-0ADC74EBA3C0}"/>
    <cellStyle name="Percent 2" xfId="2" xr:uid="{568FA051-1A73-4833-A69F-2C0B3598789A}"/>
  </cellStyles>
  <dxfs count="40">
    <dxf>
      <font>
        <b/>
        <i/>
      </font>
      <fill>
        <patternFill>
          <bgColor theme="9" tint="0.79998168889431442"/>
        </patternFill>
      </fill>
    </dxf>
    <dxf>
      <font>
        <b val="0"/>
        <i/>
      </font>
      <fill>
        <patternFill>
          <bgColor theme="0" tint="-4.9989318521683403E-2"/>
        </patternFill>
      </fill>
    </dxf>
    <dxf>
      <font>
        <b/>
        <i/>
      </font>
      <fill>
        <patternFill>
          <bgColor theme="7" tint="0.79998168889431442"/>
        </patternFill>
      </fill>
    </dxf>
    <dxf>
      <font>
        <color theme="0" tint="-0.34998626667073579"/>
      </font>
    </dxf>
    <dxf>
      <font>
        <b/>
        <i/>
        <strike/>
        <color theme="0"/>
      </font>
      <fill>
        <patternFill>
          <bgColor rgb="FFC00000"/>
        </patternFill>
      </fill>
    </dxf>
    <dxf>
      <font>
        <b/>
        <i/>
        <strike/>
        <color theme="0"/>
      </font>
      <fill>
        <patternFill>
          <bgColor rgb="FFC00000"/>
        </patternFill>
      </fill>
    </dxf>
    <dxf>
      <font>
        <b/>
        <i/>
        <color auto="1"/>
      </font>
      <fill>
        <patternFill>
          <bgColor rgb="FFF1FBCB"/>
        </patternFill>
      </fill>
    </dxf>
    <dxf>
      <fill>
        <patternFill>
          <bgColor rgb="FFF1FBCB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 val="0"/>
        <i/>
        <color rgb="FFF1FBCB"/>
      </font>
    </dxf>
    <dxf>
      <font>
        <b val="0"/>
        <i/>
        <color auto="1"/>
      </font>
      <fill>
        <patternFill>
          <bgColor rgb="FFF9FDE7"/>
        </patternFill>
      </fill>
    </dxf>
    <dxf>
      <font>
        <b/>
        <i/>
        <strike/>
        <color theme="0"/>
      </font>
      <fill>
        <patternFill>
          <bgColor rgb="FFC00000"/>
        </patternFill>
      </fill>
    </dxf>
    <dxf>
      <font>
        <b val="0"/>
        <i/>
        <color rgb="FFF1FBCB"/>
      </font>
    </dxf>
    <dxf>
      <font>
        <b val="0"/>
        <i/>
        <color auto="1"/>
      </font>
      <fill>
        <patternFill>
          <bgColor rgb="FFF9FDE7"/>
        </patternFill>
      </fill>
    </dxf>
    <dxf>
      <font>
        <b val="0"/>
        <i val="0"/>
        <color rgb="FFFF0000"/>
      </font>
      <fill>
        <patternFill>
          <bgColor rgb="FFFFFF00"/>
        </patternFill>
      </fill>
    </dxf>
    <dxf>
      <font>
        <b val="0"/>
        <i/>
        <color rgb="FFF1FBCB"/>
      </font>
    </dxf>
    <dxf>
      <font>
        <b val="0"/>
        <i/>
        <color rgb="FFC00000"/>
      </font>
      <fill>
        <patternFill>
          <bgColor rgb="FFF9FDE7"/>
        </patternFill>
      </fill>
    </dxf>
    <dxf>
      <font>
        <b/>
        <i/>
        <strike/>
        <color theme="0"/>
      </font>
      <fill>
        <patternFill>
          <bgColor rgb="FFC00000"/>
        </patternFill>
      </fill>
    </dxf>
    <dxf>
      <font>
        <b/>
        <i/>
        <strike/>
        <color theme="0"/>
      </font>
      <fill>
        <patternFill>
          <bgColor rgb="FFC00000"/>
        </patternFill>
      </fill>
    </dxf>
    <dxf>
      <font>
        <b val="0"/>
        <i val="0"/>
        <color rgb="FFFF0000"/>
      </font>
      <fill>
        <patternFill>
          <bgColor rgb="FFFFFF00"/>
        </patternFill>
      </fill>
    </dxf>
    <dxf>
      <font>
        <color rgb="FFECFAB8"/>
      </font>
    </dxf>
    <dxf>
      <font>
        <b/>
        <i/>
        <strike/>
        <color theme="0"/>
      </font>
      <fill>
        <patternFill>
          <bgColor rgb="FFC00000"/>
        </patternFill>
      </fill>
    </dxf>
    <dxf>
      <font>
        <b/>
        <i/>
        <color rgb="FFF7D47D"/>
      </font>
      <fill>
        <patternFill>
          <bgColor rgb="FFFBEAC0"/>
        </patternFill>
      </fill>
    </dxf>
    <dxf>
      <font>
        <color rgb="FFFBEAC0"/>
      </font>
    </dxf>
    <dxf>
      <font>
        <b/>
        <i/>
        <strike/>
        <color theme="0"/>
      </font>
      <fill>
        <patternFill>
          <bgColor rgb="FFC00000"/>
        </patternFill>
      </fill>
    </dxf>
    <dxf>
      <font>
        <b/>
        <i/>
        <color rgb="FFFBEAC0"/>
      </font>
      <fill>
        <patternFill>
          <bgColor rgb="FFFBEAC0"/>
        </patternFill>
      </fill>
    </dxf>
    <dxf>
      <font>
        <b/>
        <i/>
        <strike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 val="0"/>
        <i/>
        <color theme="0"/>
      </font>
      <fill>
        <patternFill>
          <bgColor rgb="FF4F75FF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color theme="0" tint="-0.34998626667073579"/>
      </font>
    </dxf>
    <dxf>
      <font>
        <b val="0"/>
        <i/>
      </font>
      <fill>
        <patternFill>
          <bgColor rgb="FFE0E0FB"/>
        </patternFill>
      </fill>
    </dxf>
    <dxf>
      <font>
        <b/>
        <i val="0"/>
      </font>
    </dxf>
    <dxf>
      <font>
        <b val="0"/>
        <i/>
        <color theme="0" tint="-0.34998626667073579"/>
      </font>
    </dxf>
    <dxf>
      <border>
        <bottom style="thin">
          <color theme="0" tint="-0.24994659260841701"/>
        </bottom>
        <vertical/>
        <horizontal/>
      </border>
    </dxf>
    <dxf>
      <fill>
        <patternFill>
          <bgColor rgb="FFECFAB8"/>
        </patternFill>
      </fill>
    </dxf>
    <dxf>
      <font>
        <b/>
        <i/>
      </font>
      <fill>
        <patternFill>
          <bgColor rgb="FFECFAB8"/>
        </patternFill>
      </fill>
    </dxf>
    <dxf>
      <font>
        <b val="0"/>
        <i/>
        <color theme="0" tint="-0.14996795556505021"/>
      </font>
      <fill>
        <patternFill>
          <bgColor theme="0" tint="-4.9989318521683403E-2"/>
        </patternFill>
      </fill>
    </dxf>
    <dxf>
      <font>
        <b val="0"/>
        <i/>
        <color theme="0" tint="-0.14996795556505021"/>
      </font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4461808908425007E-2"/>
          <c:y val="5.7876745989275613E-2"/>
          <c:w val="0.97519393852477576"/>
          <c:h val="0.88886971652815239"/>
        </c:manualLayout>
      </c:layout>
      <c:pie3DChart>
        <c:varyColors val="1"/>
        <c:ser>
          <c:idx val="0"/>
          <c:order val="0"/>
          <c:tx>
            <c:strRef>
              <c:f>Report!$E$33:$E$42</c:f>
              <c:strCache>
                <c:ptCount val="10"/>
                <c:pt idx="0">
                  <c:v>1-Year Fixed Rate, Fixed Account</c:v>
                </c:pt>
                <c:pt idx="1">
                  <c:v>1-Year PTP with Secure Cap, S&amp;P 500</c:v>
                </c:pt>
                <c:pt idx="2">
                  <c:v>1-Year PTP with Cap, PIMCO Global Optima</c:v>
                </c:pt>
                <c:pt idx="3">
                  <c:v>1-Year PTP with ParRate, MLSB</c:v>
                </c:pt>
              </c:strCache>
            </c:strRef>
          </c:tx>
          <c:spPr>
            <a:ln>
              <a:noFill/>
            </a:ln>
            <a:scene3d>
              <a:camera prst="orthographicFront"/>
              <a:lightRig rig="threePt" dir="t"/>
            </a:scene3d>
            <a:sp3d prstMaterial="softEdge">
              <a:bevelT/>
              <a:bevelB/>
              <a:contourClr>
                <a:srgbClr val="000000"/>
              </a:contourClr>
            </a:sp3d>
          </c:spPr>
          <c:explosion val="5"/>
          <c:dPt>
            <c:idx val="0"/>
            <c:bubble3D val="0"/>
            <c:spPr>
              <a:solidFill>
                <a:srgbClr val="FA9454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B6E-48EA-94B3-3DDA266A98B5}"/>
              </c:ext>
            </c:extLst>
          </c:dPt>
          <c:dPt>
            <c:idx val="1"/>
            <c:bubble3D val="0"/>
            <c:spPr>
              <a:solidFill>
                <a:srgbClr val="EC602F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6E-48EA-94B3-3DDA266A98B5}"/>
              </c:ext>
            </c:extLst>
          </c:dPt>
          <c:dPt>
            <c:idx val="2"/>
            <c:bubble3D val="0"/>
            <c:spPr>
              <a:solidFill>
                <a:srgbClr val="4CD6BB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B6E-48EA-94B3-3DDA266A98B5}"/>
              </c:ext>
            </c:extLst>
          </c:dPt>
          <c:dPt>
            <c:idx val="3"/>
            <c:bubble3D val="0"/>
            <c:spPr>
              <a:solidFill>
                <a:srgbClr val="008B7E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B6E-48EA-94B3-3DDA266A98B5}"/>
              </c:ext>
            </c:extLst>
          </c:dPt>
          <c:dPt>
            <c:idx val="4"/>
            <c:bubble3D val="0"/>
            <c:spPr>
              <a:solidFill>
                <a:srgbClr val="42ACF6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B6E-48EA-94B3-3DDA266A98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B6E-48EA-94B3-3DDA266A98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B6E-48EA-94B3-3DDA266A98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B6E-48EA-94B3-3DDA266A98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B6E-48EA-94B3-3DDA266A98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softEdge">
                <a:bevelT/>
                <a:bevelB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B6E-48EA-94B3-3DDA266A98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Report!$E$33:$E$42</c:f>
              <c:strCache>
                <c:ptCount val="4"/>
                <c:pt idx="0">
                  <c:v>1-Year Fixed Rate, Fixed Account</c:v>
                </c:pt>
                <c:pt idx="1">
                  <c:v>1-Year PTP with Secure Cap, S&amp;P 500</c:v>
                </c:pt>
                <c:pt idx="2">
                  <c:v>1-Year PTP with Cap, PIMCO Global Optima</c:v>
                </c:pt>
                <c:pt idx="3">
                  <c:v>1-Year PTP with ParRate, MLSB</c:v>
                </c:pt>
              </c:strCache>
            </c:strRef>
          </c:cat>
          <c:val>
            <c:numRef>
              <c:f>Report!$F$33:$F$42</c:f>
              <c:numCache>
                <c:formatCode>0%</c:formatCode>
                <c:ptCount val="10"/>
                <c:pt idx="0">
                  <c:v>0.1</c:v>
                </c:pt>
                <c:pt idx="1">
                  <c:v>0.4</c:v>
                </c:pt>
                <c:pt idx="2">
                  <c:v>0.1</c:v>
                </c:pt>
                <c:pt idx="3">
                  <c:v>0.4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B6E-48EA-94B3-3DDA266A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117157</xdr:colOff>
      <xdr:row>30</xdr:row>
      <xdr:rowOff>96680</xdr:rowOff>
    </xdr:from>
    <xdr:to>
      <xdr:col>12</xdr:col>
      <xdr:colOff>13811</xdr:colOff>
      <xdr:row>47</xdr:row>
      <xdr:rowOff>97156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36982-32F3-44BB-982B-2D84DAC16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ifeng\Downloads\Index%20Annuity%20Hypo%20Illustrations%20Tool_v1.47%20red.xlsb" TargetMode="External"/><Relationship Id="rId1" Type="http://schemas.openxmlformats.org/officeDocument/2006/relationships/externalLinkPath" Target="Index%20Annuity%20Hypo%20Illustrations%20Tool_v1.47%20red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&amp; EUC"/>
      <sheetName val="Report"/>
      <sheetName val="Inputs &amp; Summary"/>
      <sheetName val="Allocated"/>
      <sheetName val="P2"/>
      <sheetName val="ABALLMKT"/>
      <sheetName val="AQRDAI5"/>
      <sheetName val="AQRDAI5sna"/>
      <sheetName val="DFAUSFDS"/>
      <sheetName val="EAFE"/>
      <sheetName val="FQD"/>
      <sheetName val="GSPC"/>
      <sheetName val="PIMGEM"/>
      <sheetName val="PIMGOPT"/>
      <sheetName val="MLSB"/>
      <sheetName val="NDX"/>
      <sheetName val="RUT"/>
      <sheetName val="IINEWEC"/>
      <sheetName val="Ref"/>
      <sheetName val="SPXVC"/>
      <sheetName val="JPMAS"/>
      <sheetName val="JPMAM"/>
      <sheetName val="JPMAQ"/>
      <sheetName val="STRTG"/>
      <sheetName val="SR"/>
      <sheetName val="RMD"/>
      <sheetName val="LBG"/>
    </sheetNames>
    <sheetDataSet>
      <sheetData sheetId="0"/>
      <sheetData sheetId="1"/>
      <sheetData sheetId="2"/>
      <sheetData sheetId="3">
        <row r="11">
          <cell r="D11" t="str">
            <v>S&amp;P 500</v>
          </cell>
          <cell r="G11" t="str">
            <v>PIMCO Global Optima</v>
          </cell>
          <cell r="J11" t="str">
            <v>MLSB</v>
          </cell>
          <cell r="M11" t="str">
            <v/>
          </cell>
          <cell r="P11" t="str">
            <v/>
          </cell>
          <cell r="S11" t="str">
            <v/>
          </cell>
          <cell r="V11" t="str">
            <v/>
          </cell>
          <cell r="Y11" t="str">
            <v/>
          </cell>
          <cell r="AB11" t="str">
            <v/>
          </cell>
          <cell r="AE11" t="str">
            <v/>
          </cell>
          <cell r="AH11" t="str">
            <v/>
          </cell>
          <cell r="AK11" t="str">
            <v/>
          </cell>
          <cell r="AN11" t="str">
            <v/>
          </cell>
          <cell r="AQ11" t="str">
            <v/>
          </cell>
          <cell r="AT11" t="str">
            <v/>
          </cell>
          <cell r="AW11" t="str">
            <v/>
          </cell>
        </row>
        <row r="13">
          <cell r="D13">
            <v>1</v>
          </cell>
          <cell r="G13">
            <v>2</v>
          </cell>
          <cell r="J13">
            <v>3</v>
          </cell>
          <cell r="M13">
            <v>4</v>
          </cell>
          <cell r="P13">
            <v>5</v>
          </cell>
          <cell r="S13">
            <v>6</v>
          </cell>
          <cell r="V13">
            <v>7</v>
          </cell>
          <cell r="Y13">
            <v>8</v>
          </cell>
          <cell r="AB13">
            <v>9</v>
          </cell>
          <cell r="AE13">
            <v>10</v>
          </cell>
          <cell r="AH13">
            <v>11</v>
          </cell>
          <cell r="AK13">
            <v>12</v>
          </cell>
          <cell r="AN13">
            <v>13</v>
          </cell>
          <cell r="AQ13">
            <v>14</v>
          </cell>
          <cell r="AT13">
            <v>15</v>
          </cell>
          <cell r="AW13">
            <v>16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33">
          <cell r="J33">
            <v>9.9000000000000005E-2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3">
          <cell r="T13" t="str">
            <v>Fixed Rate</v>
          </cell>
          <cell r="U13" t="str">
            <v>ParRate</v>
          </cell>
          <cell r="V13" t="str">
            <v>Cap</v>
          </cell>
          <cell r="W13" t="str">
            <v>Spread</v>
          </cell>
          <cell r="X13" t="str">
            <v>Triggered Rate</v>
          </cell>
          <cell r="Y13" t="str">
            <v>Trigger</v>
          </cell>
          <cell r="Z13" t="str">
            <v>Interest Bonus Rate</v>
          </cell>
          <cell r="AA13" t="str">
            <v>Allocation</v>
          </cell>
          <cell r="AB13" t="str">
            <v>Best</v>
          </cell>
          <cell r="AC13" t="str">
            <v>Worst</v>
          </cell>
          <cell r="AG13" t="str">
            <v>AG Choice Index 10</v>
          </cell>
          <cell r="AH13" t="str">
            <v>AG Choice Index 10 Plus Income</v>
          </cell>
          <cell r="AI13" t="str">
            <v>Power 10 Protector</v>
          </cell>
          <cell r="AJ13" t="str">
            <v>Power 10 Protector Plus Income - Level Income</v>
          </cell>
          <cell r="AK13" t="str">
            <v>Power 10 Protector Plus Income - Max Income</v>
          </cell>
          <cell r="AL13" t="str">
            <v>Power 5 Protector</v>
          </cell>
          <cell r="AM13" t="str">
            <v>Power 7 Protector</v>
          </cell>
          <cell r="AN13" t="str">
            <v>Power 7 Protector Plus Income - Level Income</v>
          </cell>
          <cell r="AO13" t="str">
            <v>Power 7 Protector Plus Income - Max Income</v>
          </cell>
          <cell r="AP13" t="str">
            <v>Power Advantage 10</v>
          </cell>
          <cell r="AQ13" t="str">
            <v>Power Advantage 10 Plus Income</v>
          </cell>
          <cell r="AR13" t="str">
            <v>Power Advantage 7</v>
          </cell>
          <cell r="AS13" t="str">
            <v>Power Advantage 7 Plus Income</v>
          </cell>
          <cell r="AT13" t="str">
            <v>Power Index 5 NY</v>
          </cell>
          <cell r="AU13" t="str">
            <v>Power Index 5 NY with LIB</v>
          </cell>
          <cell r="AV13" t="str">
            <v>Power Index 5 Plus (Standard)</v>
          </cell>
          <cell r="AW13" t="str">
            <v>Power Index Plus (Chase)</v>
          </cell>
          <cell r="AX13" t="str">
            <v>Power Index 5 Plus (Wells Fargo)</v>
          </cell>
          <cell r="AY13" t="str">
            <v>Power Index 5 Plus Income (Wells Fargo)</v>
          </cell>
          <cell r="AZ13" t="str">
            <v>Power Index 7 Plus (Wells Fargo)</v>
          </cell>
          <cell r="BA13" t="str">
            <v>Power Index 7 Plus Income (Wells Fargo)</v>
          </cell>
          <cell r="BB13" t="str">
            <v>Power Index Advisory</v>
          </cell>
          <cell r="BC13" t="str">
            <v>Power Index Advisory Income</v>
          </cell>
          <cell r="BD13" t="str">
            <v>Power Index Elite</v>
          </cell>
          <cell r="BE13" t="str">
            <v>Power Index Elite Advisory</v>
          </cell>
          <cell r="BF13" t="str">
            <v>Power Index Elite Advisory with GLB</v>
          </cell>
          <cell r="BG13" t="str">
            <v>Power Index Elite Plus Income</v>
          </cell>
          <cell r="BH13" t="str">
            <v>Power Index Plus</v>
          </cell>
          <cell r="BI13" t="str">
            <v>Power Select Plus Income (MSG)</v>
          </cell>
          <cell r="BJ13" t="str">
            <v>Power Index Plus Income</v>
          </cell>
          <cell r="BK13" t="str">
            <v>Power Index Preferred</v>
          </cell>
          <cell r="BL13" t="str">
            <v>Power Index Preferred Plus Income</v>
          </cell>
          <cell r="BM13" t="str">
            <v>Power Index Premier</v>
          </cell>
          <cell r="BN13" t="str">
            <v>Power Index Premier Plus Income</v>
          </cell>
          <cell r="BO13" t="str">
            <v>Power Index Premier NY</v>
          </cell>
          <cell r="BP13" t="str">
            <v>Power Index Premier NY with LIB</v>
          </cell>
          <cell r="BQ13" t="str">
            <v>Power Select Advisory</v>
          </cell>
          <cell r="BR13" t="str">
            <v>Power Select Advisory with GLB</v>
          </cell>
          <cell r="BS13" t="str">
            <v>Power Select Builder</v>
          </cell>
          <cell r="BT13" t="str">
            <v>Power Select Builder 8</v>
          </cell>
          <cell r="BU13" t="str">
            <v>Power Select Plus Income</v>
          </cell>
          <cell r="BV13" t="str">
            <v>Power Select AICO</v>
          </cell>
          <cell r="BW13" t="str">
            <v>Power Index 5 Elite</v>
          </cell>
          <cell r="BX13" t="str">
            <v>Power Index 5 Elite Plus Income</v>
          </cell>
          <cell r="BY13" t="str">
            <v>TBD</v>
          </cell>
          <cell r="BZ13" t="str">
            <v>TBD</v>
          </cell>
          <cell r="CA13" t="str">
            <v>TBD</v>
          </cell>
          <cell r="CB13" t="str">
            <v>TBD</v>
          </cell>
          <cell r="CG13" t="str">
            <v>Check-a-Box Option 1</v>
          </cell>
          <cell r="CH13" t="str">
            <v>Allocation 1</v>
          </cell>
          <cell r="CI13" t="str">
            <v>Check-a-Box Option 2</v>
          </cell>
          <cell r="CJ13" t="str">
            <v>Allocation 2</v>
          </cell>
          <cell r="CK13" t="str">
            <v>Check-a-Box Option 3</v>
          </cell>
          <cell r="CL13" t="str">
            <v>Allocation 3</v>
          </cell>
          <cell r="CM13" t="str">
            <v>Check-a-Box Option 4</v>
          </cell>
          <cell r="CN13" t="str">
            <v>Allocation 4</v>
          </cell>
          <cell r="CO13" t="str">
            <v>Check-a-Box Option 5</v>
          </cell>
          <cell r="CP13" t="str">
            <v>Allocation 5</v>
          </cell>
        </row>
        <row r="14">
          <cell r="N14" t="str">
            <v>Fixed Account</v>
          </cell>
          <cell r="O14" t="str">
            <v>1-Year Fixed Rate</v>
          </cell>
          <cell r="P14" t="str">
            <v>1-Year Fixed Rate, Fixed Account</v>
          </cell>
          <cell r="Q14" t="str">
            <v>FA</v>
          </cell>
          <cell r="R14" t="str">
            <v>1FR</v>
          </cell>
          <cell r="S14" t="str">
            <v>FA1FR</v>
          </cell>
          <cell r="T14">
            <v>4.4999999999999998E-2</v>
          </cell>
          <cell r="U14" t="str">
            <v>N/A</v>
          </cell>
          <cell r="V14" t="str">
            <v>N/A</v>
          </cell>
          <cell r="W14" t="str">
            <v>N/A</v>
          </cell>
          <cell r="X14" t="str">
            <v>N/A</v>
          </cell>
          <cell r="Y14" t="str">
            <v>N/A</v>
          </cell>
          <cell r="Z14" t="str">
            <v>N/A</v>
          </cell>
          <cell r="AA14">
            <v>0.1</v>
          </cell>
          <cell r="AB14" t="str">
            <v>N/A</v>
          </cell>
          <cell r="AC14" t="str">
            <v>N/A</v>
          </cell>
          <cell r="AG14" t="str">
            <v>1-Year Fixed Rate, Fixed Account</v>
          </cell>
          <cell r="AH14" t="str">
            <v>1-Year Fixed Rate, Fixed Account</v>
          </cell>
          <cell r="AI14" t="str">
            <v>1-Year Fixed Rate, Fixed Account</v>
          </cell>
          <cell r="AJ14" t="str">
            <v>1-Year Fixed Rate, Fixed Account</v>
          </cell>
          <cell r="AK14" t="str">
            <v>1-Year Fixed Rate, Fixed Account</v>
          </cell>
          <cell r="AL14" t="str">
            <v>1-Year Fixed Rate, Fixed Account</v>
          </cell>
          <cell r="AM14" t="str">
            <v>1-Year Fixed Rate, Fixed Account</v>
          </cell>
          <cell r="AN14" t="str">
            <v>1-Year Fixed Rate, Fixed Account</v>
          </cell>
          <cell r="AO14" t="str">
            <v>1-Year Fixed Rate, Fixed Account</v>
          </cell>
          <cell r="AP14" t="str">
            <v>1-Year Fixed Rate, Fixed Account</v>
          </cell>
          <cell r="AQ14" t="str">
            <v>1-Year Fixed Rate, Fixed Account</v>
          </cell>
          <cell r="AR14" t="str">
            <v>1-Year Fixed Rate, Fixed Account</v>
          </cell>
          <cell r="AS14" t="str">
            <v>1-Year Fixed Rate, Fixed Account</v>
          </cell>
          <cell r="AT14" t="str">
            <v>1-Year Fixed Rate, Fixed Account</v>
          </cell>
          <cell r="AU14" t="str">
            <v>1-Year Fixed Rate, Fixed Account</v>
          </cell>
          <cell r="AV14" t="str">
            <v>1-Year Fixed Rate, Fixed Account</v>
          </cell>
          <cell r="AW14" t="str">
            <v>1-Year Fixed Rate, Fixed Account</v>
          </cell>
          <cell r="AX14" t="str">
            <v>1-Year Fixed Rate, Fixed Account</v>
          </cell>
          <cell r="AY14" t="str">
            <v>1-Year Fixed Rate, Fixed Account</v>
          </cell>
          <cell r="AZ14" t="str">
            <v>1-Year Fixed Rate, Fixed Account</v>
          </cell>
          <cell r="BA14" t="str">
            <v>1-Year Fixed Rate, Fixed Account</v>
          </cell>
          <cell r="BB14" t="str">
            <v>1-Year Fixed Rate, Fixed Account</v>
          </cell>
          <cell r="BC14" t="str">
            <v>1-Year Fixed Rate, Fixed Account</v>
          </cell>
          <cell r="BD14" t="str">
            <v>1-Year Fixed Rate, Fixed Account</v>
          </cell>
          <cell r="BE14" t="str">
            <v>1-Year Fixed Rate, Fixed Account</v>
          </cell>
          <cell r="BF14" t="str">
            <v>1-Year Fixed Rate, Fixed Account</v>
          </cell>
          <cell r="BG14" t="str">
            <v>1-Year Fixed Rate, Fixed Account</v>
          </cell>
          <cell r="BH14" t="str">
            <v>1-Year Fixed Rate, Fixed Account</v>
          </cell>
          <cell r="BI14" t="str">
            <v>1-Year Fixed Rate, Fixed Account</v>
          </cell>
          <cell r="BJ14" t="str">
            <v>1-Year Fixed Rate, Fixed Account</v>
          </cell>
          <cell r="BK14" t="str">
            <v>1-Year Fixed Rate, Fixed Account</v>
          </cell>
          <cell r="BL14" t="str">
            <v>1-Year Fixed Rate, Fixed Account</v>
          </cell>
          <cell r="BM14" t="str">
            <v>1-Year Fixed Rate, Fixed Account</v>
          </cell>
          <cell r="BN14" t="str">
            <v>1-Year Fixed Rate, Fixed Account</v>
          </cell>
          <cell r="BO14" t="str">
            <v>1-Year Fixed Rate, Fixed Account</v>
          </cell>
          <cell r="BP14" t="str">
            <v>1-Year Fixed Rate, Fixed Account</v>
          </cell>
          <cell r="BQ14" t="str">
            <v>1-Year Fixed Rate, Fixed Account</v>
          </cell>
          <cell r="BR14" t="str">
            <v>1-Year Fixed Rate, Fixed Account</v>
          </cell>
          <cell r="BS14" t="str">
            <v>1-Year Fixed Rate, Fixed Account</v>
          </cell>
          <cell r="BT14" t="str">
            <v>1-Year Fixed Rate, Fixed Account</v>
          </cell>
          <cell r="BU14" t="str">
            <v>1-Year Fixed Rate, Fixed Account</v>
          </cell>
          <cell r="BV14" t="str">
            <v>1-Year Fixed Rate, Fixed Account</v>
          </cell>
          <cell r="BW14" t="str">
            <v>1-Year Fixed Rate, Fixed Account</v>
          </cell>
          <cell r="BX14" t="str">
            <v>1-Year Fixed Rate, Fixed Account</v>
          </cell>
          <cell r="BY14" t="str">
            <v>1-Year Fixed Rate, Fixed Account</v>
          </cell>
          <cell r="BZ14" t="str">
            <v>1-Year Fixed Rate, Fixed Account</v>
          </cell>
          <cell r="CA14" t="str">
            <v>1-Year Fixed Rate, Fixed Account</v>
          </cell>
          <cell r="CB14" t="str">
            <v>1-Year Fixed Rate, Fixed Account</v>
          </cell>
          <cell r="CF14">
            <v>1</v>
          </cell>
          <cell r="CH14" t="str">
            <v>ü</v>
          </cell>
          <cell r="CJ14" t="str">
            <v>ü</v>
          </cell>
          <cell r="CL14" t="str">
            <v>ü</v>
          </cell>
          <cell r="CN14" t="str">
            <v>ü</v>
          </cell>
          <cell r="CP14" t="str">
            <v>ü</v>
          </cell>
        </row>
        <row r="15">
          <cell r="N15" t="str">
            <v>S&amp;P 500</v>
          </cell>
          <cell r="O15" t="str">
            <v>1-Year PTP with Cap</v>
          </cell>
          <cell r="P15" t="str">
            <v>1-Year PTP with Cap, S&amp;P 500</v>
          </cell>
          <cell r="Q15" t="str">
            <v>GSPC</v>
          </cell>
          <cell r="R15" t="str">
            <v>1C</v>
          </cell>
          <cell r="S15" t="str">
            <v>GSPC1C</v>
          </cell>
          <cell r="T15" t="str">
            <v>N/A</v>
          </cell>
          <cell r="U15" t="str">
            <v>N/A</v>
          </cell>
          <cell r="V15">
            <v>9.5000000000000001E-2</v>
          </cell>
          <cell r="W15" t="str">
            <v>N/A</v>
          </cell>
          <cell r="X15" t="str">
            <v>N/A</v>
          </cell>
          <cell r="Y15" t="str">
            <v>N/A</v>
          </cell>
          <cell r="Z15">
            <v>0</v>
          </cell>
          <cell r="AA15">
            <v>0</v>
          </cell>
          <cell r="AB15">
            <v>40908</v>
          </cell>
          <cell r="AC15">
            <v>39082</v>
          </cell>
          <cell r="AG15" t="str">
            <v>1-Year Performance-Triggered Account, S&amp;P 500</v>
          </cell>
          <cell r="AH15" t="str">
            <v>1-Year Performance-Triggered Account, S&amp;P 500</v>
          </cell>
          <cell r="AI15" t="str">
            <v>1-Year Performance-Triggered Account, S&amp;P 500</v>
          </cell>
          <cell r="AJ15" t="str">
            <v>1-Year Performance-Triggered Account, S&amp;P 500</v>
          </cell>
          <cell r="AK15" t="str">
            <v>1-Year Performance-Triggered Account, S&amp;P 500</v>
          </cell>
          <cell r="AL15" t="str">
            <v>Check-a-Box Option 1</v>
          </cell>
          <cell r="AM15" t="str">
            <v>Check-a-Box Option 1</v>
          </cell>
          <cell r="AN15" t="str">
            <v>1-Year Performance-Triggered Account, S&amp;P 500</v>
          </cell>
          <cell r="AO15" t="str">
            <v>1-Year Performance-Triggered Account, S&amp;P 500</v>
          </cell>
          <cell r="AP15" t="str">
            <v>1-Year Performance-Triggered Account, S&amp;P 500</v>
          </cell>
          <cell r="AQ15" t="str">
            <v>1-Year Performance-Triggered Account, S&amp;P 500</v>
          </cell>
          <cell r="AR15" t="str">
            <v>1-Year Performance-Triggered Account, S&amp;P 500</v>
          </cell>
          <cell r="AS15" t="str">
            <v>1-Year Performance-Triggered Account, S&amp;P 500</v>
          </cell>
          <cell r="AT15" t="str">
            <v>1-Year Performance-Triggered Account, S&amp;P 500</v>
          </cell>
          <cell r="AU15" t="str">
            <v>1-Year Performance-Triggered Account, S&amp;P 500</v>
          </cell>
          <cell r="AV15" t="str">
            <v>Check-a-Box Option 1</v>
          </cell>
          <cell r="AW15" t="str">
            <v>Check-a-Box Option 1</v>
          </cell>
          <cell r="AX15" t="str">
            <v>1-Year Performance-Triggered Account, S&amp;P 500</v>
          </cell>
          <cell r="AY15" t="str">
            <v>1-Year Performance-Triggered Account, S&amp;P 500</v>
          </cell>
          <cell r="AZ15" t="str">
            <v>1-Year Performance-Triggered Account, S&amp;P 500</v>
          </cell>
          <cell r="BA15" t="str">
            <v>1-Year Performance-Triggered Account, S&amp;P 500</v>
          </cell>
          <cell r="BB15" t="str">
            <v>1-Year Performance-Triggered Account, S&amp;P 500</v>
          </cell>
          <cell r="BC15" t="str">
            <v>1-Year Performance-Triggered Account, S&amp;P 500</v>
          </cell>
          <cell r="BD15" t="str">
            <v>1-Year Performance-Triggered Account, S&amp;P 500</v>
          </cell>
          <cell r="BE15" t="str">
            <v>1-Year Performance-Triggered Account, S&amp;P 500</v>
          </cell>
          <cell r="BF15" t="str">
            <v>1-Year Performance-Triggered Account, S&amp;P 500</v>
          </cell>
          <cell r="BG15" t="str">
            <v>1-Year Performance-Triggered Account, S&amp;P 500</v>
          </cell>
          <cell r="BH15" t="str">
            <v>Check-a-Box Option 1</v>
          </cell>
          <cell r="BI15" t="str">
            <v>1-Year Performance-Triggered Account, S&amp;P 500</v>
          </cell>
          <cell r="BJ15" t="str">
            <v>1-Year Performance-Triggered Account, S&amp;P 500</v>
          </cell>
          <cell r="BK15" t="str">
            <v>1-Year Performance-Triggered Account, S&amp;P 500</v>
          </cell>
          <cell r="BL15" t="str">
            <v>1-Year Performance-Triggered Account, S&amp;P 500</v>
          </cell>
          <cell r="BM15" t="str">
            <v>1-Year Performance-Triggered Account, S&amp;P 500</v>
          </cell>
          <cell r="BN15" t="str">
            <v>1-Year Performance-Triggered Account, S&amp;P 500</v>
          </cell>
          <cell r="BO15" t="str">
            <v>1-Year Performance-Triggered Account, S&amp;P 500</v>
          </cell>
          <cell r="BP15" t="str">
            <v>1-Year Performance-Triggered Account, S&amp;P 500</v>
          </cell>
          <cell r="BQ15" t="str">
            <v>1-Year Performance-Triggered Account, S&amp;P 500</v>
          </cell>
          <cell r="BR15" t="str">
            <v>1-Year Performance-Triggered Account, S&amp;P 500</v>
          </cell>
          <cell r="BS15" t="str">
            <v>1-Year Performance-Triggered Account, S&amp;P 500</v>
          </cell>
          <cell r="BT15" t="str">
            <v>1-Year Performance-Triggered Account, S&amp;P 500</v>
          </cell>
          <cell r="BU15" t="str">
            <v>1-Year Performance-Triggered Account, S&amp;P 500</v>
          </cell>
          <cell r="BV15" t="str">
            <v>1-Year PTP with ParRate, Dimensional US Foundations (DFA)</v>
          </cell>
          <cell r="BW15" t="str">
            <v>1-Year Performance-Triggered Account, S&amp;P 500</v>
          </cell>
          <cell r="BX15" t="str">
            <v>1-Year Performance-Triggered Account, S&amp;P 500</v>
          </cell>
          <cell r="CF15" t="str">
            <v>Power Index Plus (Chase)</v>
          </cell>
          <cell r="CG15" t="str">
            <v>1-Year Fixed Rate, Fixed Account</v>
          </cell>
          <cell r="CH15">
            <v>0</v>
          </cell>
          <cell r="CI15" t="str">
            <v>1-Year Fixed Rate, Fixed Account</v>
          </cell>
          <cell r="CJ15">
            <v>0</v>
          </cell>
          <cell r="CK15" t="str">
            <v>1-Year Fixed Rate, Fixed Account</v>
          </cell>
          <cell r="CL15">
            <v>0</v>
          </cell>
          <cell r="CM15" t="str">
            <v>1-Year Fixed Rate, Fixed Account</v>
          </cell>
          <cell r="CN15">
            <v>0.2</v>
          </cell>
          <cell r="CO15" t="str">
            <v>1-Year Fixed Rate, Fixed Account</v>
          </cell>
          <cell r="CP15">
            <v>0.1</v>
          </cell>
        </row>
        <row r="16">
          <cell r="O16" t="str">
            <v>1-Year PTP with Secure Cap</v>
          </cell>
          <cell r="P16" t="str">
            <v>1-Year PTP with Secure Cap, S&amp;P 500</v>
          </cell>
          <cell r="Q16" t="str">
            <v>GSPC</v>
          </cell>
          <cell r="R16" t="str">
            <v>1SC</v>
          </cell>
          <cell r="S16" t="str">
            <v>GSPC1SC</v>
          </cell>
          <cell r="T16" t="str">
            <v>N/A</v>
          </cell>
          <cell r="U16" t="str">
            <v>N/A</v>
          </cell>
          <cell r="V16">
            <v>0</v>
          </cell>
          <cell r="W16" t="str">
            <v>N/A</v>
          </cell>
          <cell r="X16" t="str">
            <v>N/A</v>
          </cell>
          <cell r="Y16" t="str">
            <v>N/A</v>
          </cell>
          <cell r="Z16">
            <v>0</v>
          </cell>
          <cell r="AA16">
            <v>0.4</v>
          </cell>
          <cell r="AB16">
            <v>40908</v>
          </cell>
          <cell r="AC16">
            <v>39082</v>
          </cell>
          <cell r="AG16" t="str">
            <v>1-Year PTP with Cap, MSCI</v>
          </cell>
          <cell r="AH16" t="str">
            <v>1-Year PTP with Cap, MSCI</v>
          </cell>
          <cell r="AI16" t="str">
            <v>1-Year PTP with Cap, S&amp;P 500</v>
          </cell>
          <cell r="AJ16" t="str">
            <v>1-Year PTP with Cap, S&amp;P 500</v>
          </cell>
          <cell r="AK16" t="str">
            <v>1-Year PTP with Cap, S&amp;P 500</v>
          </cell>
          <cell r="AL16" t="str">
            <v>Check-a-Box Option 2</v>
          </cell>
          <cell r="AM16" t="str">
            <v>Check-a-Box Option 2</v>
          </cell>
          <cell r="AN16" t="str">
            <v>1-Year PTP with Cap, S&amp;P 500</v>
          </cell>
          <cell r="AO16" t="str">
            <v>1-Year PTP with Cap, S&amp;P 500</v>
          </cell>
          <cell r="AP16" t="str">
            <v>1-Year PTP with Cap, MSCI</v>
          </cell>
          <cell r="AQ16" t="str">
            <v>1-Year PTP with Cap, MSCI</v>
          </cell>
          <cell r="AR16" t="str">
            <v>1-Year PTP with Cap, MSCI</v>
          </cell>
          <cell r="AS16" t="str">
            <v>1-Year PTP with Cap, MSCI</v>
          </cell>
          <cell r="AT16" t="str">
            <v>1-Year PTP with Cap, MSCI</v>
          </cell>
          <cell r="AU16" t="str">
            <v>1-Year PTP with Cap, MSCI</v>
          </cell>
          <cell r="AV16" t="str">
            <v>Check-a-Box Option 2</v>
          </cell>
          <cell r="AW16" t="str">
            <v>Check-a-Box Option 2</v>
          </cell>
          <cell r="AX16" t="str">
            <v>1-Year PTP with Cap, Franklin</v>
          </cell>
          <cell r="AY16" t="str">
            <v>1-Year PTP with Cap, Franklin</v>
          </cell>
          <cell r="AZ16" t="str">
            <v>1-Year PTP with Cap, Franklin</v>
          </cell>
          <cell r="BA16" t="str">
            <v>1-Year PTP with Cap, Franklin</v>
          </cell>
          <cell r="BB16" t="str">
            <v>1-Year PTP with Cap, MSCI</v>
          </cell>
          <cell r="BC16" t="str">
            <v>1-Year PTP with Cap, MSCI</v>
          </cell>
          <cell r="BD16" t="str">
            <v>1-Year PTP with Cap, MSCI</v>
          </cell>
          <cell r="BE16" t="str">
            <v>1-Year PTP with Cap, MSCI</v>
          </cell>
          <cell r="BF16" t="str">
            <v>1-Year PTP with Cap, MSCI</v>
          </cell>
          <cell r="BG16" t="str">
            <v>1-Year PTP with Cap, MSCI</v>
          </cell>
          <cell r="BH16" t="str">
            <v>Check-a-Box Option 2</v>
          </cell>
          <cell r="BI16" t="str">
            <v>1-Year PTP with Cap, S&amp;P 500</v>
          </cell>
          <cell r="BJ16" t="str">
            <v>1-Year PTP with Cap, MSCI</v>
          </cell>
          <cell r="BK16" t="str">
            <v>1-Year PTP with Cap, Russell 2000</v>
          </cell>
          <cell r="BL16" t="str">
            <v>1-Year PTP with Cap, Russell 2000</v>
          </cell>
          <cell r="BM16" t="str">
            <v>1-Year PTP with Cap, MSCI</v>
          </cell>
          <cell r="BN16" t="str">
            <v>1-Year PTP with Cap, MSCI</v>
          </cell>
          <cell r="BO16" t="str">
            <v>1-Year PTP with Cap, MSCI</v>
          </cell>
          <cell r="BP16" t="str">
            <v>1-Year PTP with Cap, MSCI</v>
          </cell>
          <cell r="BQ16" t="str">
            <v>1-Year PTP with Cap, MSCI</v>
          </cell>
          <cell r="BR16" t="str">
            <v>1-Year PTP with Cap, MSCI</v>
          </cell>
          <cell r="BS16" t="str">
            <v>1-Year PTP with Cap, S&amp;P 500</v>
          </cell>
          <cell r="BT16" t="str">
            <v>1-Year PTP with Cap, S&amp;P 500</v>
          </cell>
          <cell r="BU16" t="str">
            <v>1-Year PTP with Cap, S&amp;P 500</v>
          </cell>
          <cell r="BV16" t="str">
            <v>1-Year PTP with Cap, NASDAQ-100</v>
          </cell>
          <cell r="BW16" t="str">
            <v>1-Year PTP with Cap, MSCI</v>
          </cell>
          <cell r="BX16" t="str">
            <v>1-Year PTP with Cap, MSCI</v>
          </cell>
          <cell r="CF16" t="str">
            <v>Power Index Plus (Chase)</v>
          </cell>
          <cell r="CG16" t="str">
            <v>1-Year PTP with Secure Cap, S&amp;P 500</v>
          </cell>
          <cell r="CH16">
            <v>0</v>
          </cell>
          <cell r="CI16" t="str">
            <v>1-Year PTP with Secure Cap, S&amp;P 500</v>
          </cell>
          <cell r="CJ16">
            <v>0.25</v>
          </cell>
          <cell r="CK16" t="str">
            <v>1-Year PTP with Secure Cap, S&amp;P 500</v>
          </cell>
          <cell r="CL16">
            <v>0.5</v>
          </cell>
          <cell r="CM16" t="str">
            <v>1-Year PTP with Secure Cap, S&amp;P 500</v>
          </cell>
          <cell r="CN16">
            <v>0</v>
          </cell>
          <cell r="CO16" t="str">
            <v>1-Year PTP with Secure Cap, S&amp;P 500</v>
          </cell>
          <cell r="CP16">
            <v>0.4</v>
          </cell>
        </row>
        <row r="17">
          <cell r="O17" t="str">
            <v>1-Year PTP with ParRate</v>
          </cell>
          <cell r="P17" t="str">
            <v>1-Year PTP with ParRate, S&amp;P 500</v>
          </cell>
          <cell r="Q17" t="str">
            <v>GSPC</v>
          </cell>
          <cell r="R17" t="str">
            <v>1PR</v>
          </cell>
          <cell r="S17" t="str">
            <v>GSPC1PR</v>
          </cell>
          <cell r="T17" t="str">
            <v>N/A</v>
          </cell>
          <cell r="U17" t="str">
            <v>N/A</v>
          </cell>
          <cell r="V17" t="str">
            <v>N/A</v>
          </cell>
          <cell r="W17" t="str">
            <v>N/A</v>
          </cell>
          <cell r="X17" t="str">
            <v>N/A</v>
          </cell>
          <cell r="Y17" t="str">
            <v>N/A</v>
          </cell>
          <cell r="Z17" t="str">
            <v>N/A</v>
          </cell>
          <cell r="AA17" t="str">
            <v>N/A</v>
          </cell>
          <cell r="AB17">
            <v>40908</v>
          </cell>
          <cell r="AC17">
            <v>39082</v>
          </cell>
          <cell r="AG17" t="str">
            <v>1-Year PTP with Cap, Russell 2000</v>
          </cell>
          <cell r="AH17" t="str">
            <v>1-Year PTP with Cap, Russell 2000</v>
          </cell>
          <cell r="AI17" t="str">
            <v>1-Year PTP with EPRS Tier 1, AQR</v>
          </cell>
          <cell r="AJ17" t="str">
            <v>1-Year PTP with EPRS Tier 1, AQR</v>
          </cell>
          <cell r="AK17" t="str">
            <v>1-Year PTP with EPRS Tier 1, AQR</v>
          </cell>
          <cell r="AL17" t="str">
            <v>Check-a-Box Option 3</v>
          </cell>
          <cell r="AM17" t="str">
            <v>Check-a-Box Option 3</v>
          </cell>
          <cell r="AN17" t="str">
            <v>1-Year PTP with EPRS Tier 1, AQR</v>
          </cell>
          <cell r="AO17" t="str">
            <v>1-Year PTP with EPRS Tier 1, AQR</v>
          </cell>
          <cell r="AP17" t="str">
            <v>1-Year PTP with Cap, Russell 2000</v>
          </cell>
          <cell r="AQ17" t="str">
            <v>1-Year PTP with Cap, Russell 2000</v>
          </cell>
          <cell r="AR17" t="str">
            <v>1-Year PTP with Cap, Russell 2000</v>
          </cell>
          <cell r="AS17" t="str">
            <v>1-Year PTP with Cap, Russell 2000</v>
          </cell>
          <cell r="AT17" t="str">
            <v>1-Year PTP with Cap, Russell 2000</v>
          </cell>
          <cell r="AU17" t="str">
            <v>1-Year PTP with Cap, Russell 2000</v>
          </cell>
          <cell r="AV17" t="str">
            <v>Check-a-Box Option 3</v>
          </cell>
          <cell r="AW17" t="str">
            <v>Check-a-Box Option 3</v>
          </cell>
          <cell r="AX17" t="str">
            <v>1-Year PTP with Cap, MLSB</v>
          </cell>
          <cell r="AY17" t="str">
            <v>1-Year PTP with Cap, MLSB</v>
          </cell>
          <cell r="AZ17" t="str">
            <v>1-Year PTP with Cap, MLSB</v>
          </cell>
          <cell r="BA17" t="str">
            <v>1-Year PTP with Cap, MLSB</v>
          </cell>
          <cell r="BB17" t="str">
            <v>1-Year PTP with Cap, Russell 2000</v>
          </cell>
          <cell r="BC17" t="str">
            <v>1-Year PTP with Cap, Russell 2000</v>
          </cell>
          <cell r="BD17" t="str">
            <v>1-Year PTP with Cap, Russell 2000</v>
          </cell>
          <cell r="BE17" t="str">
            <v>1-Year PTP with Cap, Russell 2000</v>
          </cell>
          <cell r="BF17" t="str">
            <v>1-Year PTP with Cap, Russell 2000</v>
          </cell>
          <cell r="BG17" t="str">
            <v>1-Year PTP with Cap, Russell 2000</v>
          </cell>
          <cell r="BH17" t="str">
            <v>Check-a-Box Option 3</v>
          </cell>
          <cell r="BI17" t="str">
            <v>1-Year PTP with ParRate &amp; Spread, Alliance Bernstein</v>
          </cell>
          <cell r="BJ17" t="str">
            <v>1-Year PTP with Cap, Russell 2000</v>
          </cell>
          <cell r="BK17" t="str">
            <v>1-Year PTP with Cap, S&amp;P 500</v>
          </cell>
          <cell r="BL17" t="str">
            <v>1-Year PTP with Cap, S&amp;P 500</v>
          </cell>
          <cell r="BM17" t="str">
            <v>1-Year PTP with Cap, Russell 2000</v>
          </cell>
          <cell r="BN17" t="str">
            <v>1-Year PTP with Cap, Russell 2000</v>
          </cell>
          <cell r="BO17" t="str">
            <v>1-Year PTP with Cap, Russell 2000</v>
          </cell>
          <cell r="BP17" t="str">
            <v>1-Year PTP with Cap, Russell 2000</v>
          </cell>
          <cell r="BQ17" t="str">
            <v>1-Year PTP with Cap, S&amp;P 500</v>
          </cell>
          <cell r="BR17" t="str">
            <v>1-Year PTP with Cap, S&amp;P 500</v>
          </cell>
          <cell r="BS17" t="str">
            <v>1-Year PTP with EPRS Tier 1, Alliance Bernstein</v>
          </cell>
          <cell r="BT17" t="str">
            <v>1-Year PTP with EPRS Tier 1, Alliance Bernstein</v>
          </cell>
          <cell r="BU17" t="str">
            <v>1-Year PTP with ParRate &amp; Spread, Alliance Bernstein</v>
          </cell>
          <cell r="BV17" t="str">
            <v>1-Year PTP with ParRate, Invesco New Economy</v>
          </cell>
          <cell r="BW17" t="str">
            <v>1-Year PTP with Cap, Russell 2000</v>
          </cell>
          <cell r="BX17" t="str">
            <v>1-Year PTP with Cap, Russell 2000</v>
          </cell>
          <cell r="CF17" t="str">
            <v>Power Index Plus (Chase)</v>
          </cell>
          <cell r="CG17" t="str">
            <v>1-Year PTP with Secure Cap, JPM Ascend</v>
          </cell>
          <cell r="CH17">
            <v>0.34</v>
          </cell>
          <cell r="CI17" t="str">
            <v>1-Year PTP with Secure Cap, JPM Ascend</v>
          </cell>
          <cell r="CJ17">
            <v>0.25</v>
          </cell>
          <cell r="CK17" t="str">
            <v>1-Year PTP with Secure Cap, JPM Ascend</v>
          </cell>
          <cell r="CL17">
            <v>0.5</v>
          </cell>
          <cell r="CM17" t="str">
            <v>1-Year PTP with Secure Cap, JPM Ascend</v>
          </cell>
          <cell r="CN17">
            <v>0</v>
          </cell>
          <cell r="CO17" t="str">
            <v>1-Year PTP with Secure Cap, JPM Ascend</v>
          </cell>
          <cell r="CP17">
            <v>0.2</v>
          </cell>
        </row>
        <row r="18">
          <cell r="O18" t="str">
            <v>1-Year PTP with Secure ParRate</v>
          </cell>
          <cell r="P18" t="str">
            <v>1-Year PTP with Secure ParRate, S&amp;P 500</v>
          </cell>
          <cell r="Q18" t="str">
            <v>GSPC</v>
          </cell>
          <cell r="R18" t="str">
            <v>1SPR</v>
          </cell>
          <cell r="S18" t="str">
            <v>GSPC1SPR</v>
          </cell>
          <cell r="T18" t="str">
            <v>N/A</v>
          </cell>
          <cell r="U18" t="str">
            <v>N/A</v>
          </cell>
          <cell r="V18" t="str">
            <v>N/A</v>
          </cell>
          <cell r="W18" t="str">
            <v>N/A</v>
          </cell>
          <cell r="X18" t="str">
            <v>N/A</v>
          </cell>
          <cell r="Y18" t="str">
            <v>N/A</v>
          </cell>
          <cell r="Z18" t="str">
            <v>N/A</v>
          </cell>
          <cell r="AA18" t="str">
            <v>N/A</v>
          </cell>
          <cell r="AB18">
            <v>40908</v>
          </cell>
          <cell r="AC18">
            <v>39082</v>
          </cell>
          <cell r="AG18" t="str">
            <v>1-Year PTP with Cap, S&amp;P 500</v>
          </cell>
          <cell r="AH18" t="str">
            <v>1-Year PTP with Cap, S&amp;P 500</v>
          </cell>
          <cell r="AI18" t="str">
            <v>1-Year PTP with EPRS Tier 1, MLSB</v>
          </cell>
          <cell r="AJ18" t="str">
            <v>1-Year PTP with EPRS Tier 1, MLSB</v>
          </cell>
          <cell r="AK18" t="str">
            <v>1-Year PTP with EPRS Tier 1, MLSB</v>
          </cell>
          <cell r="AL18" t="str">
            <v>Check-a-Box Option 4</v>
          </cell>
          <cell r="AM18" t="str">
            <v>Check-a-Box Option 4</v>
          </cell>
          <cell r="AN18" t="str">
            <v>1-Year PTP with EPRS Tier 1, MLSB</v>
          </cell>
          <cell r="AO18" t="str">
            <v>1-Year PTP with EPRS Tier 1, MLSB</v>
          </cell>
          <cell r="AP18" t="str">
            <v>1-Year PTP with Cap, S&amp;P 500</v>
          </cell>
          <cell r="AQ18" t="str">
            <v>1-Year PTP with Cap, S&amp;P 500</v>
          </cell>
          <cell r="AR18" t="str">
            <v>1-Year PTP with Cap, S&amp;P 500</v>
          </cell>
          <cell r="AS18" t="str">
            <v>1-Year PTP with Cap, S&amp;P 500</v>
          </cell>
          <cell r="AT18" t="str">
            <v>1-Year PTP with Cap, S&amp;P 500</v>
          </cell>
          <cell r="AU18" t="str">
            <v>1-Year PTP with Cap, S&amp;P 500</v>
          </cell>
          <cell r="AV18" t="str">
            <v>Check-a-Box Option 4</v>
          </cell>
          <cell r="AW18" t="str">
            <v>Check-a-Box Option 4</v>
          </cell>
          <cell r="AX18" t="str">
            <v>1-Year PTP with Cap, PIMCO Global Optima</v>
          </cell>
          <cell r="AY18" t="str">
            <v>1-Year PTP with Cap, PIMCO Global Optima</v>
          </cell>
          <cell r="AZ18" t="str">
            <v>1-Year PTP with Cap, PIMCO Global Optima</v>
          </cell>
          <cell r="BA18" t="str">
            <v>1-Year PTP with Cap, PIMCO Global Optima</v>
          </cell>
          <cell r="BB18" t="str">
            <v>1-Year PTP with Cap, S&amp;P 500</v>
          </cell>
          <cell r="BC18" t="str">
            <v>1-Year PTP with Cap, S&amp;P 500</v>
          </cell>
          <cell r="BD18" t="str">
            <v>1-Year PTP with Cap, S&amp;P 500</v>
          </cell>
          <cell r="BE18" t="str">
            <v>1-Year PTP with Cap, S&amp;P 500</v>
          </cell>
          <cell r="BF18" t="str">
            <v>1-Year PTP with Cap, S&amp;P 500</v>
          </cell>
          <cell r="BG18" t="str">
            <v>1-Year PTP with Cap, S&amp;P 500</v>
          </cell>
          <cell r="BH18" t="str">
            <v>Check-a-Box Option 4</v>
          </cell>
          <cell r="BI18" t="str">
            <v>1-Year PTP with ParRate &amp; Spread, Dimensional US Foundations (DFA)</v>
          </cell>
          <cell r="BJ18" t="str">
            <v>1-Year PTP with Cap, S&amp;P 500</v>
          </cell>
          <cell r="BK18" t="str">
            <v>1-Year PTP with ParRate, Franklin</v>
          </cell>
          <cell r="BL18" t="str">
            <v>1-Year PTP with ParRate, Franklin</v>
          </cell>
          <cell r="BM18" t="str">
            <v>1-Year PTP with Cap, S&amp;P 500</v>
          </cell>
          <cell r="BN18" t="str">
            <v>1-Year PTP with Cap, S&amp;P 500</v>
          </cell>
          <cell r="BO18" t="str">
            <v>1-Year PTP with Cap, S&amp;P 500</v>
          </cell>
          <cell r="BP18" t="str">
            <v>1-Year PTP with Cap, S&amp;P 500</v>
          </cell>
          <cell r="BQ18" t="str">
            <v>1-Year PTP with ParRate, Alliance Bernstein</v>
          </cell>
          <cell r="BR18" t="str">
            <v>1-Year PTP with ParRate, Alliance Bernstein</v>
          </cell>
          <cell r="BS18" t="str">
            <v>1-Year PTP with EPRS Tier 1, Dimensional US Foundations (DFA)</v>
          </cell>
          <cell r="BT18" t="str">
            <v>1-Year PTP with EPRS Tier 1, Dimensional US Foundations (DFA)</v>
          </cell>
          <cell r="BU18" t="str">
            <v>1-Year PTP with ParRate, MLSB</v>
          </cell>
          <cell r="BV18" t="str">
            <v>1-Year PTP with ParRate, MLSB</v>
          </cell>
          <cell r="BW18" t="str">
            <v>1-Year PTP with Cap, S&amp;P 500</v>
          </cell>
          <cell r="BX18" t="str">
            <v>1-Year PTP with Cap, S&amp;P 500</v>
          </cell>
          <cell r="CF18" t="str">
            <v>Power Index Plus (Chase)</v>
          </cell>
          <cell r="CG18" t="str">
            <v>1-Year PTP with Secure Cap, JPM Adaptive Quality</v>
          </cell>
          <cell r="CH18">
            <v>0.33</v>
          </cell>
          <cell r="CI18" t="str">
            <v>1-Year PTP with Secure Cap, JPM Adaptive Quality</v>
          </cell>
          <cell r="CJ18">
            <v>0.25</v>
          </cell>
          <cell r="CK18" t="str">
            <v>1-Year PTP with Secure Cap, JPM Adaptive Quality</v>
          </cell>
          <cell r="CL18">
            <v>0</v>
          </cell>
          <cell r="CM18" t="str">
            <v>1-Year PTP with Secure Cap, JPM Adaptive Quality</v>
          </cell>
          <cell r="CN18">
            <v>0.4</v>
          </cell>
          <cell r="CO18" t="str">
            <v>1-Year PTP with Secure Cap, JPM Adaptive Quality</v>
          </cell>
          <cell r="CP18">
            <v>0.15</v>
          </cell>
        </row>
        <row r="19">
          <cell r="O19" t="str">
            <v>1-Year Performance-Triggered Account</v>
          </cell>
          <cell r="P19" t="str">
            <v>1-Year Performance-Triggered Account, S&amp;P 500</v>
          </cell>
          <cell r="Q19" t="str">
            <v>GSPC</v>
          </cell>
          <cell r="R19" t="str">
            <v>1PT</v>
          </cell>
          <cell r="S19" t="str">
            <v>GSPC1PT</v>
          </cell>
          <cell r="T19" t="str">
            <v>N/A</v>
          </cell>
          <cell r="U19" t="str">
            <v>N/A</v>
          </cell>
          <cell r="V19" t="str">
            <v>N/A</v>
          </cell>
          <cell r="W19" t="str">
            <v>N/A</v>
          </cell>
          <cell r="X19" t="str">
            <v>N/A</v>
          </cell>
          <cell r="Y19" t="str">
            <v>N/A</v>
          </cell>
          <cell r="Z19" t="str">
            <v>N/A</v>
          </cell>
          <cell r="AA19" t="str">
            <v>N/A</v>
          </cell>
          <cell r="AB19">
            <v>40908</v>
          </cell>
          <cell r="AC19">
            <v>39082</v>
          </cell>
          <cell r="AG19" t="str">
            <v>1-Year PTP with ParRate, Franklin</v>
          </cell>
          <cell r="AH19" t="str">
            <v>1-Year PTP with ParRate, Franklin</v>
          </cell>
          <cell r="AI19" t="str">
            <v>1-Year PTP with EPRS Tier 1, PIMCO Global Optima</v>
          </cell>
          <cell r="AJ19" t="str">
            <v>1-Year PTP with EPRS Tier 1, PIMCO Global Optima</v>
          </cell>
          <cell r="AK19" t="str">
            <v>1-Year PTP with EPRS Tier 1, PIMCO Global Optima</v>
          </cell>
          <cell r="AL19" t="str">
            <v>Check-a-Box Option 5</v>
          </cell>
          <cell r="AM19" t="str">
            <v>Check-a-Box Option 5</v>
          </cell>
          <cell r="AN19" t="str">
            <v>1-Year PTP with EPRS Tier 1, PIMCO Global Optima</v>
          </cell>
          <cell r="AO19" t="str">
            <v>1-Year PTP with EPRS Tier 1, PIMCO Global Optima</v>
          </cell>
          <cell r="AP19" t="str">
            <v>1-Year PTP with ParRate, MLSB</v>
          </cell>
          <cell r="AQ19" t="str">
            <v>1-Year PTP with ParRate, MLSB</v>
          </cell>
          <cell r="AR19" t="str">
            <v>1-Year PTP with ParRate, MLSB</v>
          </cell>
          <cell r="AS19" t="str">
            <v>1-Year PTP with ParRate, MLSB</v>
          </cell>
          <cell r="AT19" t="str">
            <v>1-Year PTP with Cap, NASDAQ-100</v>
          </cell>
          <cell r="AU19" t="str">
            <v>1-Year PTP with Cap, NASDAQ-100</v>
          </cell>
          <cell r="AV19" t="str">
            <v>Check-a-Box Option 5</v>
          </cell>
          <cell r="AW19" t="str">
            <v>Check-a-Box Option 5</v>
          </cell>
          <cell r="AX19" t="str">
            <v>1-Year PTP with Cap, S&amp;P 500</v>
          </cell>
          <cell r="AY19" t="str">
            <v>1-Year PTP with Cap, S&amp;P 500</v>
          </cell>
          <cell r="AZ19" t="str">
            <v>1-Year PTP with Cap, S&amp;P 500</v>
          </cell>
          <cell r="BA19" t="str">
            <v>1-Year PTP with Cap, S&amp;P 500</v>
          </cell>
          <cell r="BB19" t="str">
            <v>1-Year PTP with ParRate, Franklin</v>
          </cell>
          <cell r="BC19" t="str">
            <v>1-Year PTP with ParRate, Franklin</v>
          </cell>
          <cell r="BD19" t="str">
            <v>1-Year PTP with ParRate, Franklin</v>
          </cell>
          <cell r="BE19" t="str">
            <v>1-Year PTP with ParRate, Franklin</v>
          </cell>
          <cell r="BF19" t="str">
            <v>1-Year PTP with ParRate, Franklin</v>
          </cell>
          <cell r="BG19" t="str">
            <v>1-Year PTP with ParRate, Franklin</v>
          </cell>
          <cell r="BH19" t="str">
            <v>Check-a-Box Option 5</v>
          </cell>
          <cell r="BI19" t="str">
            <v>1-Year PTP with ParRate, Russell 2000</v>
          </cell>
          <cell r="BJ19" t="str">
            <v>1-Year PTP with ParRate, Franklin</v>
          </cell>
          <cell r="BK19" t="str">
            <v>1-Year PTP with Cap, MSCI</v>
          </cell>
          <cell r="BL19" t="str">
            <v>1-Year PTP with Cap, MSCI</v>
          </cell>
          <cell r="BM19" t="str">
            <v>1-Year PTP with ParRate, S&amp;P 500</v>
          </cell>
          <cell r="BN19" t="str">
            <v>1-Year PTP with ParRate, S&amp;P 500</v>
          </cell>
          <cell r="BO19" t="str">
            <v>1-Year PTP with Cap, NASDAQ-100</v>
          </cell>
          <cell r="BP19" t="str">
            <v>1-Year PTP with Cap, NASDAQ-100</v>
          </cell>
          <cell r="BQ19" t="str">
            <v>1-Year PTP with ParRate, Dimensional US Foundations (DFA)</v>
          </cell>
          <cell r="BR19" t="str">
            <v>1-Year PTP with ParRate, Dimensional US Foundations (DFA)</v>
          </cell>
          <cell r="BS19" t="str">
            <v>1-Year PTP with EPRS Tier 2, Alliance Bernstein</v>
          </cell>
          <cell r="BT19" t="str">
            <v>1-Year PTP with EPRS Tier 2, Alliance Bernstein</v>
          </cell>
          <cell r="BU19" t="str">
            <v>1-Year PTP with ParRate, Invesco New Economy</v>
          </cell>
          <cell r="BV19" t="str">
            <v>1-Year PTP with ParRate, PIMCO Global Optima</v>
          </cell>
          <cell r="BW19" t="str">
            <v>1-Year PTP with ParRate, Franklin</v>
          </cell>
          <cell r="BX19" t="str">
            <v>1-Year PTP with ParRate, Franklin</v>
          </cell>
          <cell r="CF19" t="str">
            <v>Power Index Plus (Chase)</v>
          </cell>
          <cell r="CG19" t="str">
            <v>1-Year PTP with Secure Cap, JPM Adaptive Momentum</v>
          </cell>
          <cell r="CH19">
            <v>0.33</v>
          </cell>
          <cell r="CI19" t="str">
            <v>1-Year PTP with Secure Cap, JPM Adaptive Momentum</v>
          </cell>
          <cell r="CJ19">
            <v>0.25</v>
          </cell>
          <cell r="CK19" t="str">
            <v>1-Year PTP with Secure Cap, JPM Adaptive Momentum</v>
          </cell>
          <cell r="CL19">
            <v>0</v>
          </cell>
          <cell r="CM19" t="str">
            <v>1-Year PTP with Secure Cap, JPM Adaptive Momentum</v>
          </cell>
          <cell r="CN19">
            <v>0.4</v>
          </cell>
          <cell r="CO19" t="str">
            <v>1-Year PTP with Secure Cap, JPM Adaptive Momentum</v>
          </cell>
          <cell r="CP19">
            <v>0.15</v>
          </cell>
        </row>
        <row r="20">
          <cell r="O20" t="str">
            <v>1-Year PTP with Spread</v>
          </cell>
          <cell r="P20" t="str">
            <v>1-Year PTP with Spread, S&amp;P 500</v>
          </cell>
          <cell r="Q20" t="str">
            <v>GSPC</v>
          </cell>
          <cell r="R20" t="str">
            <v>1S</v>
          </cell>
          <cell r="S20" t="str">
            <v>GSPC1S</v>
          </cell>
          <cell r="T20" t="str">
            <v>N/A</v>
          </cell>
          <cell r="U20" t="str">
            <v>N/A</v>
          </cell>
          <cell r="V20" t="str">
            <v>N/A</v>
          </cell>
          <cell r="W20" t="str">
            <v>N/A</v>
          </cell>
          <cell r="X20" t="str">
            <v>N/A</v>
          </cell>
          <cell r="Y20" t="str">
            <v>N/A</v>
          </cell>
          <cell r="Z20" t="str">
            <v>N/A</v>
          </cell>
          <cell r="AA20" t="str">
            <v>N/A</v>
          </cell>
          <cell r="AB20">
            <v>40908</v>
          </cell>
          <cell r="AC20">
            <v>39082</v>
          </cell>
          <cell r="AG20" t="str">
            <v>1-Year PTP with ParRate, MLSB</v>
          </cell>
          <cell r="AH20" t="str">
            <v>1-Year PTP with ParRate, MLSB</v>
          </cell>
          <cell r="AI20" t="str">
            <v>1-Year PTP with EPRS Tier 1, S&amp;P 500</v>
          </cell>
          <cell r="AJ20" t="str">
            <v>1-Year PTP with EPRS Tier 1, S&amp;P 500</v>
          </cell>
          <cell r="AK20" t="str">
            <v>1-Year PTP with EPRS Tier 1, S&amp;P 500</v>
          </cell>
          <cell r="AL20" t="str">
            <v>1-Year Performance-Triggered Account, S&amp;P 500</v>
          </cell>
          <cell r="AM20" t="str">
            <v>1-Year Performance-Triggered Account, S&amp;P 500</v>
          </cell>
          <cell r="AN20" t="str">
            <v>1-Year PTP with EPRS Tier 1, S&amp;P 500</v>
          </cell>
          <cell r="AO20" t="str">
            <v>1-Year PTP with EPRS Tier 1, S&amp;P 500</v>
          </cell>
          <cell r="AP20" t="str">
            <v>1-Year PTP with ParRate, PIMCO Global Optima</v>
          </cell>
          <cell r="AQ20" t="str">
            <v>1-Year PTP with ParRate, PIMCO Global Optima</v>
          </cell>
          <cell r="AR20" t="str">
            <v>1-Year PTP with ParRate, PIMCO Global Optima</v>
          </cell>
          <cell r="AS20" t="str">
            <v>1-Year PTP with ParRate, PIMCO Global Optima</v>
          </cell>
          <cell r="AT20" t="str">
            <v>1-Year Performance-Triggered Account, NASDAQ-100</v>
          </cell>
          <cell r="AU20" t="str">
            <v>1-Year Performance-Triggered Account, NASDAQ-100</v>
          </cell>
          <cell r="AV20" t="str">
            <v>1-Year Performance-Triggered Account, S&amp;P 500</v>
          </cell>
          <cell r="AW20" t="str">
            <v>1-Year PTP with Secure Cap, S&amp;P 500</v>
          </cell>
          <cell r="BB20" t="str">
            <v>1-Year PTP with ParRate, MLSB</v>
          </cell>
          <cell r="BC20" t="str">
            <v>1-Year PTP with ParRate, MLSB</v>
          </cell>
          <cell r="BD20" t="str">
            <v>1-Year PTP with ParRate, MLSB</v>
          </cell>
          <cell r="BE20" t="str">
            <v>1-Year PTP with ParRate, MLSB</v>
          </cell>
          <cell r="BF20" t="str">
            <v>1-Year PTP with ParRate, MLSB</v>
          </cell>
          <cell r="BG20" t="str">
            <v>1-Year PTP with ParRate, MLSB</v>
          </cell>
          <cell r="BH20" t="str">
            <v>1-Year Performance-Triggered Account, S&amp;P 500</v>
          </cell>
          <cell r="BI20" t="str">
            <v>1-Year PTP with ParRate, MLSB</v>
          </cell>
          <cell r="BJ20" t="str">
            <v>1-Year PTP with ParRate, MLSB</v>
          </cell>
          <cell r="BK20" t="str">
            <v>1-Year PTP with ParRate, MLSB</v>
          </cell>
          <cell r="BL20" t="str">
            <v>1-Year PTP with ParRate, MLSB</v>
          </cell>
          <cell r="BO20" t="str">
            <v>1-Year Performance-Triggered Account, NASDAQ-100</v>
          </cell>
          <cell r="BP20" t="str">
            <v>1-Year Performance-Triggered Account, NASDAQ-100</v>
          </cell>
          <cell r="BQ20" t="str">
            <v>1-Year PTP with ParRate, Invesco New Economy</v>
          </cell>
          <cell r="BR20" t="str">
            <v>1-Year PTP with ParRate, Invesco New Economy</v>
          </cell>
          <cell r="BS20" t="str">
            <v>1-Year PTP with EPRS Tier 2, Dimensional US Foundations (DFA)</v>
          </cell>
          <cell r="BT20" t="str">
            <v>1-Year PTP with EPRS Tier 2, Dimensional US Foundations (DFA)</v>
          </cell>
          <cell r="BU20" t="str">
            <v>1-Year PTP with ParRate, PIMCO Global Optima</v>
          </cell>
          <cell r="BV20" t="str">
            <v>1-Year PTP with Cap, S&amp;P 500</v>
          </cell>
          <cell r="BW20" t="str">
            <v>1-Year PTP with ParRate, MLSB</v>
          </cell>
          <cell r="BX20" t="str">
            <v>1-Year PTP with ParRate, MLSB</v>
          </cell>
          <cell r="CF20">
            <v>2</v>
          </cell>
          <cell r="CH20" t="str">
            <v>ü</v>
          </cell>
          <cell r="CJ20" t="str">
            <v>ü</v>
          </cell>
          <cell r="CL20" t="str">
            <v>ü</v>
          </cell>
          <cell r="CN20" t="str">
            <v>ü</v>
          </cell>
          <cell r="CP20" t="str">
            <v>ü</v>
          </cell>
        </row>
        <row r="21">
          <cell r="O21" t="str">
            <v>1-Year PTP with ParRate &amp; Cap</v>
          </cell>
          <cell r="P21" t="str">
            <v>1-Year PTP with ParRate &amp; Cap, S&amp;P 500</v>
          </cell>
          <cell r="Q21" t="str">
            <v>GSPC</v>
          </cell>
          <cell r="R21" t="str">
            <v>1PRC</v>
          </cell>
          <cell r="S21" t="str">
            <v>GSPC1PRC</v>
          </cell>
          <cell r="T21" t="str">
            <v>N/A</v>
          </cell>
          <cell r="U21" t="str">
            <v>N/A</v>
          </cell>
          <cell r="V21" t="str">
            <v>N/A</v>
          </cell>
          <cell r="W21" t="str">
            <v>N/A</v>
          </cell>
          <cell r="X21" t="str">
            <v>N/A</v>
          </cell>
          <cell r="Y21" t="str">
            <v>N/A</v>
          </cell>
          <cell r="Z21" t="str">
            <v>N/A</v>
          </cell>
          <cell r="AA21" t="str">
            <v>N/A</v>
          </cell>
          <cell r="AB21">
            <v>40908</v>
          </cell>
          <cell r="AC21">
            <v>39082</v>
          </cell>
          <cell r="AG21" t="str">
            <v>1-Year PTP with ParRate, PIMCO Global Optima</v>
          </cell>
          <cell r="AH21" t="str">
            <v>1-Year PTP with ParRate, PIMCO Global Optima</v>
          </cell>
          <cell r="AI21" t="str">
            <v>1-Year PTP with ParRate, AQR</v>
          </cell>
          <cell r="AJ21" t="str">
            <v>1-Year PTP with ParRate, AQR</v>
          </cell>
          <cell r="AK21" t="str">
            <v>1-Year PTP with ParRate, AQR</v>
          </cell>
          <cell r="AL21" t="str">
            <v>1-Year PTP with Cap, S&amp;P 500</v>
          </cell>
          <cell r="AM21" t="str">
            <v>1-Year PTP with Cap, S&amp;P 500</v>
          </cell>
          <cell r="AN21" t="str">
            <v>1-Year PTP with ParRate, AQR</v>
          </cell>
          <cell r="AO21" t="str">
            <v>1-Year PTP with ParRate, AQR</v>
          </cell>
          <cell r="AP21" t="str">
            <v>1-Year PTP with ParRate, S&amp;P 500</v>
          </cell>
          <cell r="AQ21" t="str">
            <v>1-Year PTP with ParRate, S&amp;P 500</v>
          </cell>
          <cell r="AR21" t="str">
            <v>1-Year PTP with ParRate, S&amp;P 500</v>
          </cell>
          <cell r="AS21" t="str">
            <v>1-Year PTP with ParRate, S&amp;P 500</v>
          </cell>
          <cell r="AV21" t="str">
            <v>1-Year PTP with Cap, MSCI</v>
          </cell>
          <cell r="AW21" t="str">
            <v>1-Year PTP with Secure Cap, JPM Ascend</v>
          </cell>
          <cell r="BB21" t="str">
            <v>1-Year PTP with ParRate, PIMCO Global Optima</v>
          </cell>
          <cell r="BC21" t="str">
            <v>1-Year PTP with ParRate, PIMCO Global Optima</v>
          </cell>
          <cell r="BD21" t="str">
            <v>1-Year PTP with ParRate, PIMCO Global Optima</v>
          </cell>
          <cell r="BE21" t="str">
            <v>1-Year PTP with ParRate, PIMCO Global Optima</v>
          </cell>
          <cell r="BF21" t="str">
            <v>1-Year PTP with ParRate, PIMCO Global Optima</v>
          </cell>
          <cell r="BG21" t="str">
            <v>1-Year PTP with ParRate, PIMCO Global Optima</v>
          </cell>
          <cell r="BH21" t="str">
            <v>1-Year PTP with Cap, MSCI</v>
          </cell>
          <cell r="BI21" t="str">
            <v>1-Year PTP with ParRate, Invesco New Economy</v>
          </cell>
          <cell r="BJ21" t="str">
            <v>1-Year PTP with ParRate, PIMCO Global Optima</v>
          </cell>
          <cell r="BK21" t="str">
            <v>1-Year PTP with ParRate, S&amp;P 500</v>
          </cell>
          <cell r="BL21" t="str">
            <v>1-Year PTP with ParRate, S&amp;P 500</v>
          </cell>
          <cell r="BS21" t="str">
            <v>1-Year PTP with ParRate, Alliance Bernstein</v>
          </cell>
          <cell r="BT21" t="str">
            <v>1-Year PTP with ParRate, Alliance Bernstein</v>
          </cell>
          <cell r="BU21" t="str">
            <v>1-Year PTP with ParRate, Russell 2000</v>
          </cell>
          <cell r="BV21" t="str">
            <v>1-Year PTP with ParRate, S&amp;P 500</v>
          </cell>
          <cell r="BW21" t="str">
            <v>1-Year PTP with ParRate, PIMCO Global Optima</v>
          </cell>
          <cell r="BX21" t="str">
            <v>1-Year PTP with ParRate, PIMCO Global Optima</v>
          </cell>
          <cell r="CF21" t="str">
            <v>Power Index 5 Plus (Standard)</v>
          </cell>
          <cell r="CG21" t="str">
            <v>1-Year Fixed Rate, Fixed Account</v>
          </cell>
          <cell r="CH21">
            <v>0</v>
          </cell>
          <cell r="CI21" t="str">
            <v>1-Year Fixed Rate, Fixed Account</v>
          </cell>
          <cell r="CJ21">
            <v>0</v>
          </cell>
          <cell r="CK21" t="str">
            <v>1-Year Fixed Rate, Fixed Account</v>
          </cell>
          <cell r="CL21">
            <v>0</v>
          </cell>
          <cell r="CM21" t="str">
            <v>1-Year Fixed Rate, Fixed Account</v>
          </cell>
          <cell r="CN21">
            <v>0.1</v>
          </cell>
          <cell r="CO21" t="str">
            <v>1-Year Fixed Rate, Fixed Account</v>
          </cell>
          <cell r="CP21">
            <v>0.1</v>
          </cell>
        </row>
        <row r="22">
          <cell r="O22" t="str">
            <v>1-Year PTP with ParRate &amp; Spread</v>
          </cell>
          <cell r="P22" t="str">
            <v>1-Year PTP with ParRate &amp; Spread, S&amp;P 500</v>
          </cell>
          <cell r="Q22" t="str">
            <v>GSPC</v>
          </cell>
          <cell r="R22" t="str">
            <v>1PRS</v>
          </cell>
          <cell r="S22" t="str">
            <v>GSPC1PRS</v>
          </cell>
          <cell r="T22" t="str">
            <v>N/A</v>
          </cell>
          <cell r="U22" t="str">
            <v>N/A</v>
          </cell>
          <cell r="V22" t="str">
            <v>N/A</v>
          </cell>
          <cell r="W22" t="str">
            <v>N/A</v>
          </cell>
          <cell r="X22" t="str">
            <v>N/A</v>
          </cell>
          <cell r="Y22" t="str">
            <v>N/A</v>
          </cell>
          <cell r="Z22" t="str">
            <v>N/A</v>
          </cell>
          <cell r="AA22" t="str">
            <v>N/A</v>
          </cell>
          <cell r="AB22">
            <v>40908</v>
          </cell>
          <cell r="AC22">
            <v>39082</v>
          </cell>
          <cell r="AG22" t="str">
            <v>1-Year PTP with ParRate, S&amp;P 500</v>
          </cell>
          <cell r="AH22" t="str">
            <v>1-Year PTP with ParRate, S&amp;P 500</v>
          </cell>
          <cell r="AI22" t="str">
            <v>1-Year PTP with ParRate, MLSB</v>
          </cell>
          <cell r="AJ22" t="str">
            <v>1-Year PTP with ParRate, MLSB</v>
          </cell>
          <cell r="AK22" t="str">
            <v>1-Year PTP with ParRate, MLSB</v>
          </cell>
          <cell r="AL22" t="str">
            <v>1-Year PTP with Secure Cap, S&amp;P 500</v>
          </cell>
          <cell r="AM22" t="str">
            <v>1-Year PTP with Secure Cap, S&amp;P 500</v>
          </cell>
          <cell r="AN22" t="str">
            <v>1-Year PTP with ParRate, MLSB</v>
          </cell>
          <cell r="AO22" t="str">
            <v>1-Year PTP with ParRate, MLSB</v>
          </cell>
          <cell r="AP22" t="str">
            <v>2-Year PTP with Spread, Franklin</v>
          </cell>
          <cell r="AQ22" t="str">
            <v>2-Year PTP with Spread, Franklin</v>
          </cell>
          <cell r="AR22" t="str">
            <v>2-Year PTP with Spread, Franklin</v>
          </cell>
          <cell r="AS22" t="str">
            <v>2-Year PTP with Spread, Franklin</v>
          </cell>
          <cell r="AV22" t="str">
            <v>1-Year PTP with Cap, Russell 2000</v>
          </cell>
          <cell r="AW22" t="str">
            <v>1-Year PTP with Secure Cap, JPM Adaptive Quality</v>
          </cell>
          <cell r="BB22" t="str">
            <v>1-Year PTP with ParRate, S&amp;P 500</v>
          </cell>
          <cell r="BC22" t="str">
            <v>1-Year PTP with ParRate, S&amp;P 500</v>
          </cell>
          <cell r="BD22" t="str">
            <v>1-Year PTP with ParRate, S&amp;P 500</v>
          </cell>
          <cell r="BE22" t="str">
            <v>1-Year PTP with ParRate, S&amp;P 500</v>
          </cell>
          <cell r="BF22" t="str">
            <v>1-Year PTP with ParRate, S&amp;P 500</v>
          </cell>
          <cell r="BG22" t="str">
            <v>1-Year PTP with ParRate, S&amp;P 500</v>
          </cell>
          <cell r="BH22" t="str">
            <v>1-Year PTP with Cap, Russell 2000</v>
          </cell>
          <cell r="BI22" t="str">
            <v>1-Year PTP with ParRate, PIMCO Global Optima</v>
          </cell>
          <cell r="BJ22" t="str">
            <v>1-Year PTP with ParRate, S&amp;P 500</v>
          </cell>
          <cell r="BS22" t="str">
            <v>1-Year PTP with ParRate, Dimensional US Foundations (DFA)</v>
          </cell>
          <cell r="BT22" t="str">
            <v>1-Year PTP with ParRate, Dimensional US Foundations (DFA)</v>
          </cell>
          <cell r="BU22" t="str">
            <v>1-Year PTP with Spread, Dimensional US Foundations (DFA)</v>
          </cell>
          <cell r="BW22" t="str">
            <v>1-Year PTP with ParRate, S&amp;P 500</v>
          </cell>
          <cell r="BX22" t="str">
            <v>1-Year PTP with ParRate, S&amp;P 500</v>
          </cell>
          <cell r="CF22" t="str">
            <v>Power Index 5 Plus (Standard)</v>
          </cell>
          <cell r="CG22" t="str">
            <v>1-Year PTP with Secure Cap, S&amp;P 500</v>
          </cell>
          <cell r="CH22">
            <v>0.7</v>
          </cell>
          <cell r="CI22" t="str">
            <v>1-Year PTP with Secure Cap, S&amp;P 500</v>
          </cell>
          <cell r="CJ22">
            <v>0.6</v>
          </cell>
          <cell r="CK22" t="str">
            <v>1-Year PTP with Secure Cap, S&amp;P 500</v>
          </cell>
          <cell r="CL22">
            <v>0.5</v>
          </cell>
          <cell r="CM22" t="str">
            <v>1-Year PTP with Secure Cap, S&amp;P 500</v>
          </cell>
          <cell r="CN22">
            <v>0.4</v>
          </cell>
          <cell r="CO22" t="str">
            <v>1-Year PTP with Secure Cap, S&amp;P 500</v>
          </cell>
          <cell r="CP22">
            <v>0.4</v>
          </cell>
        </row>
        <row r="23">
          <cell r="O23" t="str">
            <v>1-Year PTP with EPRS Tier 1</v>
          </cell>
          <cell r="P23" t="str">
            <v>1-Year PTP with EPRS Tier 1, S&amp;P 500</v>
          </cell>
          <cell r="Q23" t="str">
            <v>GSPC</v>
          </cell>
          <cell r="R23" t="str">
            <v>1EPRST1</v>
          </cell>
          <cell r="S23" t="str">
            <v>GSPC1EPRST1</v>
          </cell>
          <cell r="T23" t="str">
            <v>N/A</v>
          </cell>
          <cell r="U23" t="str">
            <v>N/A</v>
          </cell>
          <cell r="V23" t="str">
            <v>N/A</v>
          </cell>
          <cell r="W23" t="str">
            <v>N/A</v>
          </cell>
          <cell r="X23" t="str">
            <v>N/A</v>
          </cell>
          <cell r="Y23" t="str">
            <v>N/A</v>
          </cell>
          <cell r="Z23" t="str">
            <v>N/A</v>
          </cell>
          <cell r="AA23" t="str">
            <v>N/A</v>
          </cell>
          <cell r="AB23">
            <v>40908</v>
          </cell>
          <cell r="AC23">
            <v>39082</v>
          </cell>
          <cell r="AI23" t="str">
            <v>1-Year PTP with ParRate, PIMCO Global Optima</v>
          </cell>
          <cell r="AJ23" t="str">
            <v>1-Year PTP with ParRate, PIMCO Global Optima</v>
          </cell>
          <cell r="AK23" t="str">
            <v>1-Year PTP with ParRate, PIMCO Global Optima</v>
          </cell>
          <cell r="AL23" t="str">
            <v>1-Year PTP with EPRS Tier 1, AQR</v>
          </cell>
          <cell r="AM23" t="str">
            <v>1-Year PTP with EPRS Tier 1, AQR</v>
          </cell>
          <cell r="AN23" t="str">
            <v>1-Year PTP with ParRate, PIMCO Global Optima</v>
          </cell>
          <cell r="AO23" t="str">
            <v>1-Year PTP with ParRate, PIMCO Global Optima</v>
          </cell>
          <cell r="AV23" t="str">
            <v>1-Year PTP with Cap, S&amp;P 500</v>
          </cell>
          <cell r="AW23" t="str">
            <v>1-Year PTP with Secure Cap, JPM Adaptive Momentum</v>
          </cell>
          <cell r="BH23" t="str">
            <v>1-Year PTP with Cap, S&amp;P 500</v>
          </cell>
          <cell r="BI23" t="str">
            <v>2-Year PTP with ParRate &amp; Spread, Alliance Bernstein</v>
          </cell>
          <cell r="BS23" t="str">
            <v>1-Year PTP with ParRate, Invesco New Economy</v>
          </cell>
          <cell r="BT23" t="str">
            <v>1-Year PTP with ParRate, Invesco New Economy</v>
          </cell>
          <cell r="BU23" t="str">
            <v>2-Year PTP with ParRate &amp; Spread, Alliance Bernstein</v>
          </cell>
          <cell r="BW23" t="str">
            <v>5-Year PTP with Cap, S&amp;P 500</v>
          </cell>
          <cell r="BX23" t="str">
            <v>5-Year PTP with Cap, S&amp;P 500</v>
          </cell>
          <cell r="CF23" t="str">
            <v>Power Index 5 Plus (Standard)</v>
          </cell>
          <cell r="CG23" t="str">
            <v>1-Year PTP with Cap, S&amp;P 500</v>
          </cell>
          <cell r="CH23">
            <v>0</v>
          </cell>
          <cell r="CI23" t="str">
            <v>1-Year PTP with Cap, S&amp;P 500</v>
          </cell>
          <cell r="CJ23">
            <v>0</v>
          </cell>
          <cell r="CK23" t="str">
            <v>1-Year PTP with Cap, S&amp;P 500</v>
          </cell>
          <cell r="CL23">
            <v>0</v>
          </cell>
          <cell r="CM23" t="str">
            <v>1-Year PTP with Cap, S&amp;P 500</v>
          </cell>
          <cell r="CN23">
            <v>0</v>
          </cell>
          <cell r="CO23" t="str">
            <v>1-Year PTP with Cap, S&amp;P 500</v>
          </cell>
          <cell r="CP23">
            <v>0</v>
          </cell>
        </row>
        <row r="24">
          <cell r="O24" t="str">
            <v>1-Year PTP with EPRS Tier 2</v>
          </cell>
          <cell r="P24" t="str">
            <v>1-Year PTP with EPRS Tier 2, S&amp;P 500</v>
          </cell>
          <cell r="Q24" t="str">
            <v>GSPC</v>
          </cell>
          <cell r="R24" t="str">
            <v>1EPRST2</v>
          </cell>
          <cell r="S24" t="str">
            <v>GSPC1EPRST2</v>
          </cell>
          <cell r="T24" t="str">
            <v>N/A</v>
          </cell>
          <cell r="U24" t="str">
            <v>N/A</v>
          </cell>
          <cell r="V24" t="str">
            <v>N/A</v>
          </cell>
          <cell r="W24" t="str">
            <v>N/A</v>
          </cell>
          <cell r="X24" t="str">
            <v>N/A</v>
          </cell>
          <cell r="Y24" t="str">
            <v>N/A</v>
          </cell>
          <cell r="Z24" t="str">
            <v>N/A</v>
          </cell>
          <cell r="AA24" t="str">
            <v>N/A</v>
          </cell>
          <cell r="AB24">
            <v>40908</v>
          </cell>
          <cell r="AC24">
            <v>39082</v>
          </cell>
          <cell r="AI24" t="str">
            <v>1-Year PTP with ParRate, S&amp;P 500</v>
          </cell>
          <cell r="AJ24" t="str">
            <v>1-Year PTP with ParRate, S&amp;P 500</v>
          </cell>
          <cell r="AK24" t="str">
            <v>1-Year PTP with ParRate, S&amp;P 500</v>
          </cell>
          <cell r="AL24" t="str">
            <v>1-Year PTP with EPRS Tier 1, MLSB</v>
          </cell>
          <cell r="AM24" t="str">
            <v>1-Year PTP with EPRS Tier 1, MLSB</v>
          </cell>
          <cell r="AN24" t="str">
            <v>1-Year PTP with ParRate, S&amp;P 500</v>
          </cell>
          <cell r="AO24" t="str">
            <v>1-Year PTP with ParRate, S&amp;P 500</v>
          </cell>
          <cell r="AV24" t="str">
            <v>1-Year PTP with Secure Cap, S&amp;P 500</v>
          </cell>
          <cell r="BH24" t="str">
            <v>1-Year PTP with Secure Cap, S&amp;P 500</v>
          </cell>
          <cell r="BI24" t="str">
            <v>2-Year PTP with Spread, MLSB</v>
          </cell>
          <cell r="BS24" t="str">
            <v>1-Year PTP with ParRate, MLSB</v>
          </cell>
          <cell r="BT24" t="str">
            <v>1-Year PTP with ParRate, PIMCO Global Optima</v>
          </cell>
          <cell r="BU24" t="str">
            <v>2-Year PTP with ParRate, PIMCO Global Optima</v>
          </cell>
          <cell r="CF24" t="str">
            <v>Power Index 5 Plus (Standard)</v>
          </cell>
          <cell r="CG24" t="str">
            <v>5-Year PTP with Cap, S&amp;P 500</v>
          </cell>
          <cell r="CH24">
            <v>0</v>
          </cell>
          <cell r="CI24" t="str">
            <v>5-Year PTP with Cap, S&amp;P 500</v>
          </cell>
          <cell r="CJ24">
            <v>0</v>
          </cell>
          <cell r="CK24" t="str">
            <v>5-Year PTP with Cap, S&amp;P 500</v>
          </cell>
          <cell r="CL24">
            <v>0</v>
          </cell>
          <cell r="CM24" t="str">
            <v>5-Year PTP with Cap, S&amp;P 500</v>
          </cell>
          <cell r="CN24">
            <v>0</v>
          </cell>
          <cell r="CO24" t="str">
            <v>5-Year PTP with Cap, S&amp;P 500</v>
          </cell>
          <cell r="CP24">
            <v>0</v>
          </cell>
        </row>
        <row r="25">
          <cell r="O25" t="str">
            <v>2-Year PTP with Cap</v>
          </cell>
          <cell r="P25" t="str">
            <v>2-Year PTP with Cap, S&amp;P 500</v>
          </cell>
          <cell r="Q25" t="str">
            <v>GSPC</v>
          </cell>
          <cell r="R25" t="str">
            <v>2C</v>
          </cell>
          <cell r="S25" t="str">
            <v>GSPC2C</v>
          </cell>
          <cell r="T25" t="str">
            <v>N/A</v>
          </cell>
          <cell r="U25" t="str">
            <v>N/A</v>
          </cell>
          <cell r="V25" t="str">
            <v>N/A</v>
          </cell>
          <cell r="W25" t="str">
            <v>N/A</v>
          </cell>
          <cell r="X25" t="str">
            <v>N/A</v>
          </cell>
          <cell r="Y25" t="str">
            <v>N/A</v>
          </cell>
          <cell r="Z25" t="str">
            <v>N/A</v>
          </cell>
          <cell r="AA25" t="str">
            <v>N/A</v>
          </cell>
          <cell r="AB25">
            <v>40908</v>
          </cell>
          <cell r="AC25">
            <v>39082</v>
          </cell>
          <cell r="AI25" t="str">
            <v>2-Year PTP with EPRS Tier 1, AQR</v>
          </cell>
          <cell r="AJ25" t="str">
            <v>2-Year PTP with EPRS Tier 1, AQR</v>
          </cell>
          <cell r="AK25" t="str">
            <v>2-Year PTP with EPRS Tier 1, AQR</v>
          </cell>
          <cell r="AL25" t="str">
            <v>1-Year PTP with EPRS Tier 1, PIMCO Global Optima</v>
          </cell>
          <cell r="AM25" t="str">
            <v>1-Year PTP with EPRS Tier 1, PIMCO Global Optima</v>
          </cell>
          <cell r="AN25" t="str">
            <v>2-Year PTP with EPRS Tier 1, AQR</v>
          </cell>
          <cell r="AO25" t="str">
            <v>2-Year PTP with EPRS Tier 1, AQR</v>
          </cell>
          <cell r="AV25" t="str">
            <v>1-Year PTP with ParRate, Franklin</v>
          </cell>
          <cell r="BH25" t="str">
            <v>1-Year PTP with ParRate, Franklin</v>
          </cell>
          <cell r="BI25" t="str">
            <v>2-Year PTP with ParRate &amp; Spread, Dimensional US Foundations (DFA)</v>
          </cell>
          <cell r="BS25" t="str">
            <v>1-Year PTP with ParRate, Invesco New Economy</v>
          </cell>
          <cell r="BT25" t="str">
            <v>1-Year PTP with ParRate, S&amp;P 500</v>
          </cell>
          <cell r="BU25" t="str">
            <v>2-Year PTP with ParRate, S&amp;P 500</v>
          </cell>
          <cell r="CF25" t="str">
            <v>Power Index 5 Plus (Standard)</v>
          </cell>
          <cell r="CG25" t="str">
            <v>1-Year PTP with Cap, Russell 2000</v>
          </cell>
          <cell r="CH25">
            <v>0.1</v>
          </cell>
          <cell r="CI25" t="str">
            <v>1-Year PTP with Cap, Russell 2000</v>
          </cell>
          <cell r="CJ25">
            <v>0.1</v>
          </cell>
          <cell r="CK25" t="str">
            <v>1-Year PTP with Cap, Russell 2000</v>
          </cell>
          <cell r="CL25">
            <v>0.25</v>
          </cell>
          <cell r="CM25" t="str">
            <v>1-Year PTP with Cap, Russell 2000</v>
          </cell>
          <cell r="CN25">
            <v>0.2</v>
          </cell>
          <cell r="CO25" t="str">
            <v>1-Year PTP with Cap, Russell 2000</v>
          </cell>
          <cell r="CP25">
            <v>0</v>
          </cell>
        </row>
        <row r="26">
          <cell r="O26" t="str">
            <v>2-Year PTP with ParRate</v>
          </cell>
          <cell r="P26" t="str">
            <v>2-Year PTP with ParRate, S&amp;P 500</v>
          </cell>
          <cell r="Q26" t="str">
            <v>GSPC</v>
          </cell>
          <cell r="R26" t="str">
            <v>2PR</v>
          </cell>
          <cell r="S26" t="str">
            <v>GSPC2PR</v>
          </cell>
          <cell r="T26" t="str">
            <v>N/A</v>
          </cell>
          <cell r="U26" t="str">
            <v>N/A</v>
          </cell>
          <cell r="V26" t="str">
            <v>N/A</v>
          </cell>
          <cell r="W26" t="str">
            <v>N/A</v>
          </cell>
          <cell r="X26" t="str">
            <v>N/A</v>
          </cell>
          <cell r="Y26" t="str">
            <v>N/A</v>
          </cell>
          <cell r="Z26" t="str">
            <v>N/A</v>
          </cell>
          <cell r="AA26" t="str">
            <v>N/A</v>
          </cell>
          <cell r="AB26">
            <v>40908</v>
          </cell>
          <cell r="AC26">
            <v>39082</v>
          </cell>
          <cell r="AI26" t="str">
            <v>2-Year PTP with EPRS Tier 1, MLSB</v>
          </cell>
          <cell r="AJ26" t="str">
            <v>2-Year PTP with EPRS Tier 1, MLSB</v>
          </cell>
          <cell r="AK26" t="str">
            <v>2-Year PTP with EPRS Tier 1, MLSB</v>
          </cell>
          <cell r="AL26" t="str">
            <v>1-Year PTP with EPRS Tier 1, S&amp;P 500</v>
          </cell>
          <cell r="AM26" t="str">
            <v>1-Year PTP with EPRS Tier 1, S&amp;P 500</v>
          </cell>
          <cell r="AN26" t="str">
            <v>2-Year PTP with EPRS Tier 1, MLSB</v>
          </cell>
          <cell r="AO26" t="str">
            <v>2-Year PTP with EPRS Tier 1, MLSB</v>
          </cell>
          <cell r="AV26" t="str">
            <v>1-Year PTP with ParRate, MLSB</v>
          </cell>
          <cell r="BH26" t="str">
            <v>1-Year PTP with ParRate, MLSB</v>
          </cell>
          <cell r="BI26" t="str">
            <v>2-Year PTP with ParRate, PIMCO Global Optima</v>
          </cell>
          <cell r="BS26" t="str">
            <v>1-Year PTP with ParRate, PIMCO Global Optima</v>
          </cell>
          <cell r="BT26" t="str">
            <v>2-Year PTP with EPRS Tier 1, Alliance Bernstein</v>
          </cell>
          <cell r="BU26" t="str">
            <v>2-Year PTP with Spread, Dimensional US Foundations (DFA)</v>
          </cell>
          <cell r="CF26" t="str">
            <v>Power Index 5 Plus (Standard)</v>
          </cell>
          <cell r="CG26" t="str">
            <v>1-Year PTP with Cap, MSCI</v>
          </cell>
          <cell r="CH26">
            <v>0.1</v>
          </cell>
          <cell r="CI26" t="str">
            <v>1-Year PTP with Cap, MSCI</v>
          </cell>
          <cell r="CJ26">
            <v>0.1</v>
          </cell>
          <cell r="CK26" t="str">
            <v>1-Year PTP with Cap, MSCI</v>
          </cell>
          <cell r="CL26">
            <v>0.25</v>
          </cell>
          <cell r="CM26" t="str">
            <v>1-Year PTP with Cap, MSCI</v>
          </cell>
          <cell r="CN26">
            <v>0.2</v>
          </cell>
          <cell r="CO26" t="str">
            <v>1-Year PTP with Cap, MSCI</v>
          </cell>
          <cell r="CP26">
            <v>0</v>
          </cell>
        </row>
        <row r="27">
          <cell r="O27" t="str">
            <v>2-Year PTP with Spread</v>
          </cell>
          <cell r="P27" t="str">
            <v>2-Year PTP with Spread, S&amp;P 500</v>
          </cell>
          <cell r="Q27" t="str">
            <v>GSPC</v>
          </cell>
          <cell r="R27" t="str">
            <v>2S</v>
          </cell>
          <cell r="S27" t="str">
            <v>GSPC2S</v>
          </cell>
          <cell r="T27" t="str">
            <v>N/A</v>
          </cell>
          <cell r="U27" t="str">
            <v>N/A</v>
          </cell>
          <cell r="V27" t="str">
            <v>N/A</v>
          </cell>
          <cell r="W27" t="str">
            <v>N/A</v>
          </cell>
          <cell r="X27" t="str">
            <v>N/A</v>
          </cell>
          <cell r="Y27" t="str">
            <v>N/A</v>
          </cell>
          <cell r="Z27" t="str">
            <v>N/A</v>
          </cell>
          <cell r="AA27" t="str">
            <v>N/A</v>
          </cell>
          <cell r="AB27">
            <v>40908</v>
          </cell>
          <cell r="AC27">
            <v>39082</v>
          </cell>
          <cell r="AI27" t="str">
            <v>2-Year PTP with EPRS Tier 1, PIMCO Global Optima</v>
          </cell>
          <cell r="AJ27" t="str">
            <v>2-Year PTP with EPRS Tier 1, PIMCO Global Optima</v>
          </cell>
          <cell r="AK27" t="str">
            <v>2-Year PTP with EPRS Tier 1, PIMCO Global Optima</v>
          </cell>
          <cell r="AL27" t="str">
            <v>1-Year PTP with ParRate, AQR</v>
          </cell>
          <cell r="AM27" t="str">
            <v>1-Year PTP with ParRate, AQR</v>
          </cell>
          <cell r="AN27" t="str">
            <v>2-Year PTP with EPRS Tier 1, PIMCO Global Optima</v>
          </cell>
          <cell r="AO27" t="str">
            <v>2-Year PTP with EPRS Tier 1, PIMCO Global Optima</v>
          </cell>
          <cell r="AV27" t="str">
            <v>1-Year PTP with ParRate, PIMCO Global Optima</v>
          </cell>
          <cell r="BH27" t="str">
            <v>1-Year PTP with ParRate, PIMCO Global Optima</v>
          </cell>
          <cell r="BI27" t="str">
            <v>2-Year PTP with ParRate, S&amp;P 500</v>
          </cell>
          <cell r="BS27" t="str">
            <v>1-Year PTP with ParRate, Russell 2000</v>
          </cell>
          <cell r="BT27" t="str">
            <v>2-Year PTP with EPRS Tier 1, Dimensional US Foundations (DFA)</v>
          </cell>
          <cell r="BU27" t="str">
            <v>2-Year PTP with Spread, MLSB</v>
          </cell>
          <cell r="CF27" t="str">
            <v>Power Index 5 Plus (Standard)</v>
          </cell>
          <cell r="CG27" t="str">
            <v>1-Year PTP with Cap, PIMCO Global Optima</v>
          </cell>
          <cell r="CH27">
            <v>0.05</v>
          </cell>
          <cell r="CI27" t="str">
            <v>1-Year PTP with Cap, PIMCO Global Optima</v>
          </cell>
          <cell r="CJ27">
            <v>0.1</v>
          </cell>
          <cell r="CK27" t="str">
            <v>1-Year PTP with Cap, PIMCO Global Optima</v>
          </cell>
          <cell r="CL27">
            <v>0</v>
          </cell>
          <cell r="CM27" t="str">
            <v>1-Year PTP with Cap, PIMCO Global Optima</v>
          </cell>
          <cell r="CN27">
            <v>0.05</v>
          </cell>
          <cell r="CO27" t="str">
            <v>1-Year PTP with Cap, PIMCO Global Optima</v>
          </cell>
          <cell r="CP27">
            <v>0.1</v>
          </cell>
        </row>
        <row r="28">
          <cell r="O28" t="str">
            <v>2-Year PTP with ParRate &amp; Spread</v>
          </cell>
          <cell r="P28" t="str">
            <v>2-Year PTP with ParRate &amp; Spread, S&amp;P 500</v>
          </cell>
          <cell r="Q28" t="str">
            <v>GSPC</v>
          </cell>
          <cell r="R28" t="str">
            <v>2PRS</v>
          </cell>
          <cell r="S28" t="str">
            <v>GSPC2PRS</v>
          </cell>
          <cell r="T28" t="str">
            <v>N/A</v>
          </cell>
          <cell r="U28" t="str">
            <v>N/A</v>
          </cell>
          <cell r="V28" t="str">
            <v>N/A</v>
          </cell>
          <cell r="W28" t="str">
            <v>N/A</v>
          </cell>
          <cell r="X28" t="str">
            <v>N/A</v>
          </cell>
          <cell r="Y28" t="str">
            <v>N/A</v>
          </cell>
          <cell r="Z28" t="str">
            <v>N/A</v>
          </cell>
          <cell r="AA28" t="str">
            <v>N/A</v>
          </cell>
          <cell r="AB28">
            <v>40908</v>
          </cell>
          <cell r="AC28">
            <v>39082</v>
          </cell>
          <cell r="AI28" t="str">
            <v>2-Year PTP with ParRate, AQR</v>
          </cell>
          <cell r="AJ28" t="str">
            <v>2-Year PTP with ParRate, AQR</v>
          </cell>
          <cell r="AK28" t="str">
            <v>2-Year PTP with ParRate, AQR</v>
          </cell>
          <cell r="AL28" t="str">
            <v>1-Year PTP with ParRate, MLSB</v>
          </cell>
          <cell r="AM28" t="str">
            <v>1-Year PTP with ParRate, MLSB</v>
          </cell>
          <cell r="AN28" t="str">
            <v>2-Year PTP with ParRate, AQR</v>
          </cell>
          <cell r="AO28" t="str">
            <v>2-Year PTP with ParRate, AQR</v>
          </cell>
          <cell r="AV28" t="str">
            <v>1-Year PTP with ParRate, S&amp;P 500</v>
          </cell>
          <cell r="BH28" t="str">
            <v>1-Year PTP with ParRate, S&amp;P 500</v>
          </cell>
          <cell r="BS28" t="str">
            <v>2-Year PTP with EPRS Tier 1, Alliance Bernstein</v>
          </cell>
          <cell r="BT28" t="str">
            <v>2-Year PTP with EPRS Tier 2, Alliance Bernstein</v>
          </cell>
          <cell r="CF28" t="str">
            <v>Power Index 5 Plus (Standard)</v>
          </cell>
          <cell r="CG28" t="str">
            <v>1-Year PTP with ParRate, MLSB</v>
          </cell>
          <cell r="CH28">
            <v>0.05</v>
          </cell>
          <cell r="CI28" t="str">
            <v>1-Year PTP with ParRate, MLSB</v>
          </cell>
          <cell r="CJ28">
            <v>0.1</v>
          </cell>
          <cell r="CK28" t="str">
            <v>1-Year PTP with ParRate, MLSB</v>
          </cell>
          <cell r="CL28">
            <v>0</v>
          </cell>
          <cell r="CM28" t="str">
            <v>1-Year PTP with ParRate, MLSB</v>
          </cell>
          <cell r="CN28">
            <v>0.05</v>
          </cell>
          <cell r="CO28" t="str">
            <v>1-Year PTP with ParRate, MLSB</v>
          </cell>
          <cell r="CP28">
            <v>0.4</v>
          </cell>
        </row>
        <row r="29">
          <cell r="O29" t="str">
            <v>2-Year PTP with EPRS Tier 1</v>
          </cell>
          <cell r="P29" t="str">
            <v>2-Year PTP with EPRS Tier 1, S&amp;P 500</v>
          </cell>
          <cell r="Q29" t="str">
            <v>GSPC</v>
          </cell>
          <cell r="R29" t="str">
            <v>2EPRST1</v>
          </cell>
          <cell r="S29" t="str">
            <v>GSPC2EPRST1</v>
          </cell>
          <cell r="T29" t="str">
            <v>N/A</v>
          </cell>
          <cell r="U29" t="str">
            <v>N/A</v>
          </cell>
          <cell r="V29" t="str">
            <v>N/A</v>
          </cell>
          <cell r="W29" t="str">
            <v>N/A</v>
          </cell>
          <cell r="X29" t="str">
            <v>N/A</v>
          </cell>
          <cell r="Y29" t="str">
            <v>N/A</v>
          </cell>
          <cell r="Z29" t="str">
            <v>N/A</v>
          </cell>
          <cell r="AA29" t="str">
            <v>N/A</v>
          </cell>
          <cell r="AB29">
            <v>40908</v>
          </cell>
          <cell r="AC29">
            <v>39082</v>
          </cell>
          <cell r="AI29" t="str">
            <v>2-Year PTP with ParRate, MLSB</v>
          </cell>
          <cell r="AJ29" t="str">
            <v>2-Year PTP with ParRate, MLSB</v>
          </cell>
          <cell r="AK29" t="str">
            <v>2-Year PTP with ParRate, MLSB</v>
          </cell>
          <cell r="AL29" t="str">
            <v>1-Year PTP with ParRate, PIMCO Global Optima</v>
          </cell>
          <cell r="AM29" t="str">
            <v>1-Year PTP with ParRate, PIMCO Global Optima</v>
          </cell>
          <cell r="AN29" t="str">
            <v>2-Year PTP with ParRate, MLSB</v>
          </cell>
          <cell r="AO29" t="str">
            <v>2-Year PTP with ParRate, MLSB</v>
          </cell>
          <cell r="AV29" t="str">
            <v>5-Year PTP with Cap, S&amp;P 500</v>
          </cell>
          <cell r="BH29" t="str">
            <v>5-Year PTP with Cap, S&amp;P 500</v>
          </cell>
          <cell r="BS29" t="str">
            <v>2-Year PTP with EPRS Tier 1, Dimensional US Foundations (DFA)</v>
          </cell>
          <cell r="BT29" t="str">
            <v>2-Year PTP with EPRS Tier 2, Dimensional US Foundations (DFA)</v>
          </cell>
          <cell r="CF29">
            <v>3</v>
          </cell>
          <cell r="CH29" t="str">
            <v>ü</v>
          </cell>
          <cell r="CJ29" t="str">
            <v>ü</v>
          </cell>
          <cell r="CL29" t="str">
            <v>ü</v>
          </cell>
          <cell r="CN29" t="str">
            <v>ü</v>
          </cell>
          <cell r="CP29" t="str">
            <v>ü</v>
          </cell>
        </row>
        <row r="30">
          <cell r="O30" t="str">
            <v>2-Year PTP with EPRS Tier 2</v>
          </cell>
          <cell r="P30" t="str">
            <v>2-Year PTP with EPRS Tier 2, S&amp;P 500</v>
          </cell>
          <cell r="Q30" t="str">
            <v>GSPC</v>
          </cell>
          <cell r="R30" t="str">
            <v>2EPRST2</v>
          </cell>
          <cell r="S30" t="str">
            <v>GSPC2EPRST2</v>
          </cell>
          <cell r="T30" t="str">
            <v>N/A</v>
          </cell>
          <cell r="U30" t="str">
            <v>N/A</v>
          </cell>
          <cell r="V30" t="str">
            <v>N/A</v>
          </cell>
          <cell r="W30" t="str">
            <v>N/A</v>
          </cell>
          <cell r="X30" t="str">
            <v>N/A</v>
          </cell>
          <cell r="Y30" t="str">
            <v>N/A</v>
          </cell>
          <cell r="Z30" t="str">
            <v>N/A</v>
          </cell>
          <cell r="AA30" t="str">
            <v>N/A</v>
          </cell>
          <cell r="AB30">
            <v>40908</v>
          </cell>
          <cell r="AC30">
            <v>39082</v>
          </cell>
          <cell r="AI30" t="str">
            <v>2-Year PTP with ParRate, PIMCO Global Optima</v>
          </cell>
          <cell r="AJ30" t="str">
            <v>2-Year PTP with ParRate, PIMCO Global Optima</v>
          </cell>
          <cell r="AK30" t="str">
            <v>2-Year PTP with ParRate, PIMCO Global Optima</v>
          </cell>
          <cell r="AL30" t="str">
            <v>1-Year PTP with ParRate, S&amp;P 500</v>
          </cell>
          <cell r="AM30" t="str">
            <v>1-Year PTP with ParRate, S&amp;P 500</v>
          </cell>
          <cell r="AN30" t="str">
            <v>2-Year PTP with ParRate, PIMCO Global Optima</v>
          </cell>
          <cell r="AO30" t="str">
            <v>2-Year PTP with ParRate, PIMCO Global Optima</v>
          </cell>
          <cell r="BS30" t="str">
            <v>2-Year PTP with EPRS Tier 2, Alliance Bernstein</v>
          </cell>
          <cell r="BT30" t="str">
            <v>2-Year PTP with ParRate, Alliance Bernstein</v>
          </cell>
          <cell r="CF30" t="str">
            <v>Power 5 Protector</v>
          </cell>
          <cell r="CG30" t="str">
            <v>1-Year Fixed Rate, Fixed Account</v>
          </cell>
          <cell r="CH30">
            <v>0</v>
          </cell>
          <cell r="CI30" t="str">
            <v>1-Year Fixed Rate, Fixed Account</v>
          </cell>
          <cell r="CJ30">
            <v>0</v>
          </cell>
          <cell r="CK30" t="str">
            <v>1-Year Fixed Rate, Fixed Account</v>
          </cell>
          <cell r="CL30">
            <v>0</v>
          </cell>
          <cell r="CM30" t="str">
            <v>1-Year Fixed Rate, Fixed Account</v>
          </cell>
          <cell r="CN30">
            <v>0.1</v>
          </cell>
          <cell r="CO30" t="str">
            <v>1-Year Fixed Rate, Fixed Account</v>
          </cell>
          <cell r="CP30">
            <v>0.1</v>
          </cell>
        </row>
        <row r="31">
          <cell r="O31" t="str">
            <v>5-Year PTP with Cap</v>
          </cell>
          <cell r="P31" t="str">
            <v>5-Year PTP with Cap, S&amp;P 500</v>
          </cell>
          <cell r="Q31" t="str">
            <v>GSPC</v>
          </cell>
          <cell r="R31" t="str">
            <v>5C</v>
          </cell>
          <cell r="S31" t="str">
            <v>GSPC5C</v>
          </cell>
          <cell r="T31" t="str">
            <v>N/A</v>
          </cell>
          <cell r="U31" t="str">
            <v>N/A</v>
          </cell>
          <cell r="V31">
            <v>0.25</v>
          </cell>
          <cell r="W31" t="str">
            <v>N/A</v>
          </cell>
          <cell r="X31" t="str">
            <v>N/A</v>
          </cell>
          <cell r="Y31" t="str">
            <v>N/A</v>
          </cell>
          <cell r="Z31">
            <v>0</v>
          </cell>
          <cell r="AA31">
            <v>0</v>
          </cell>
          <cell r="AB31">
            <v>40908</v>
          </cell>
          <cell r="AC31">
            <v>39082</v>
          </cell>
          <cell r="AL31" t="str">
            <v>1-Year PTP with Cap, Russell 2000</v>
          </cell>
          <cell r="AM31" t="str">
            <v>1-Year PTP with Cap, Russell 2000</v>
          </cell>
          <cell r="BS31" t="str">
            <v>2-Year PTP with EPRS Tier 2, Dimensional US Foundations (DFA)</v>
          </cell>
          <cell r="BT31" t="str">
            <v>2-Year PTP with ParRate, Dimensional US Foundations (DFA)</v>
          </cell>
          <cell r="CF31" t="str">
            <v>Power 5 Protector</v>
          </cell>
          <cell r="CG31" t="str">
            <v>1-Year PTP with Secure Cap, S&amp;P 500</v>
          </cell>
          <cell r="CH31">
            <v>0.7</v>
          </cell>
          <cell r="CI31" t="str">
            <v>1-Year PTP with Secure Cap, S&amp;P 500</v>
          </cell>
          <cell r="CJ31">
            <v>0.6</v>
          </cell>
          <cell r="CK31" t="str">
            <v>1-Year PTP with Secure Cap, S&amp;P 500</v>
          </cell>
          <cell r="CL31">
            <v>0.5</v>
          </cell>
          <cell r="CM31" t="str">
            <v>1-Year PTP with Secure Cap, S&amp;P 500</v>
          </cell>
          <cell r="CN31">
            <v>0.4</v>
          </cell>
          <cell r="CO31" t="str">
            <v>1-Year PTP with Secure Cap, S&amp;P 500</v>
          </cell>
          <cell r="CP31">
            <v>0.4</v>
          </cell>
        </row>
        <row r="32">
          <cell r="N32" t="str">
            <v>Russell 2000</v>
          </cell>
          <cell r="O32" t="str">
            <v>1-Year PTP with Cap</v>
          </cell>
          <cell r="P32" t="str">
            <v>1-Year PTP with Cap, Russell 2000</v>
          </cell>
          <cell r="Q32" t="str">
            <v>RUT</v>
          </cell>
          <cell r="R32" t="str">
            <v>1C</v>
          </cell>
          <cell r="S32" t="str">
            <v>RUT1C</v>
          </cell>
          <cell r="T32" t="str">
            <v>N/A</v>
          </cell>
          <cell r="U32" t="str">
            <v>N/A</v>
          </cell>
          <cell r="V32">
            <v>9.5000000000000001E-2</v>
          </cell>
          <cell r="W32" t="str">
            <v>N/A</v>
          </cell>
          <cell r="X32" t="str">
            <v>N/A</v>
          </cell>
          <cell r="Y32" t="str">
            <v>N/A</v>
          </cell>
          <cell r="Z32">
            <v>0</v>
          </cell>
          <cell r="AA32">
            <v>0</v>
          </cell>
          <cell r="AB32">
            <v>40908</v>
          </cell>
          <cell r="AC32">
            <v>38717</v>
          </cell>
          <cell r="AL32" t="str">
            <v>1-Year PTP with Cap, MSCI</v>
          </cell>
          <cell r="AM32" t="str">
            <v>1-Year PTP with Cap, MSCI</v>
          </cell>
          <cell r="BS32" t="str">
            <v>2-Year PTP with ParRate, Alliance Bernstein</v>
          </cell>
          <cell r="BT32" t="str">
            <v>2-Year PTP with ParRate, MLSB</v>
          </cell>
          <cell r="CF32" t="str">
            <v>Power 5 Protector</v>
          </cell>
          <cell r="CG32" t="str">
            <v>1-Year PTP with Cap, S&amp;P 500</v>
          </cell>
          <cell r="CH32">
            <v>0</v>
          </cell>
          <cell r="CI32" t="str">
            <v>1-Year PTP with Cap, S&amp;P 500</v>
          </cell>
          <cell r="CJ32">
            <v>0</v>
          </cell>
          <cell r="CK32" t="str">
            <v>1-Year PTP with Cap, S&amp;P 500</v>
          </cell>
          <cell r="CL32">
            <v>0</v>
          </cell>
          <cell r="CM32" t="str">
            <v>1-Year PTP with Cap, S&amp;P 500</v>
          </cell>
          <cell r="CN32">
            <v>0</v>
          </cell>
          <cell r="CO32" t="str">
            <v>1-Year PTP with Cap, S&amp;P 500</v>
          </cell>
          <cell r="CP32">
            <v>0</v>
          </cell>
        </row>
        <row r="33">
          <cell r="O33" t="str">
            <v>1-Year PTP with Secure Cap</v>
          </cell>
          <cell r="P33" t="str">
            <v>1-Year PTP with Secure Cap, Russell 2000</v>
          </cell>
          <cell r="Q33" t="str">
            <v>RUT</v>
          </cell>
          <cell r="R33" t="str">
            <v>1SC</v>
          </cell>
          <cell r="S33" t="str">
            <v>RUT1SC</v>
          </cell>
          <cell r="T33" t="str">
            <v>N/A</v>
          </cell>
          <cell r="U33" t="str">
            <v>N/A</v>
          </cell>
          <cell r="V33" t="str">
            <v>N/A</v>
          </cell>
          <cell r="W33" t="str">
            <v>N/A</v>
          </cell>
          <cell r="X33" t="str">
            <v>N/A</v>
          </cell>
          <cell r="Y33" t="str">
            <v>N/A</v>
          </cell>
          <cell r="Z33" t="str">
            <v>N/A</v>
          </cell>
          <cell r="AA33" t="str">
            <v>N/A</v>
          </cell>
          <cell r="AB33">
            <v>40908</v>
          </cell>
          <cell r="AC33">
            <v>38717</v>
          </cell>
          <cell r="AL33" t="str">
            <v>1-Year PTP with Cap, PIMCO Global Optima</v>
          </cell>
          <cell r="AM33" t="str">
            <v>1-Year PTP with Cap, PIMCO Global Optima</v>
          </cell>
          <cell r="BS33" t="str">
            <v>2-Year PTP with ParRate, Dimensional US Foundations (DFA)</v>
          </cell>
          <cell r="BT33" t="str">
            <v>2-Year PTP with ParRate, PIMCO Global Optima</v>
          </cell>
          <cell r="CF33" t="str">
            <v>Power 5 Protector</v>
          </cell>
          <cell r="CG33" t="str">
            <v>5-Year PTP with Cap, S&amp;P 500</v>
          </cell>
          <cell r="CH33">
            <v>0</v>
          </cell>
          <cell r="CI33" t="str">
            <v>5-Year PTP with Cap, S&amp;P 500</v>
          </cell>
          <cell r="CJ33">
            <v>0</v>
          </cell>
          <cell r="CK33" t="str">
            <v>5-Year PTP with Cap, S&amp;P 500</v>
          </cell>
          <cell r="CL33">
            <v>0</v>
          </cell>
          <cell r="CM33" t="str">
            <v>5-Year PTP with Cap, S&amp;P 500</v>
          </cell>
          <cell r="CN33">
            <v>0</v>
          </cell>
          <cell r="CO33" t="str">
            <v>5-Year PTP with Cap, S&amp;P 500</v>
          </cell>
          <cell r="CP33">
            <v>0</v>
          </cell>
        </row>
        <row r="34">
          <cell r="O34" t="str">
            <v>1-Year PTP with ParRate</v>
          </cell>
          <cell r="P34" t="str">
            <v>1-Year PTP with ParRate, Russell 2000</v>
          </cell>
          <cell r="Q34" t="str">
            <v>RUT</v>
          </cell>
          <cell r="R34" t="str">
            <v>1PR</v>
          </cell>
          <cell r="S34" t="str">
            <v>RUT1PR</v>
          </cell>
          <cell r="T34" t="str">
            <v>N/A</v>
          </cell>
          <cell r="U34" t="str">
            <v>N/A</v>
          </cell>
          <cell r="V34" t="str">
            <v>N/A</v>
          </cell>
          <cell r="W34" t="str">
            <v>N/A</v>
          </cell>
          <cell r="X34" t="str">
            <v>N/A</v>
          </cell>
          <cell r="Y34" t="str">
            <v>N/A</v>
          </cell>
          <cell r="Z34" t="str">
            <v>N/A</v>
          </cell>
          <cell r="AA34" t="str">
            <v>N/A</v>
          </cell>
          <cell r="AB34">
            <v>40908</v>
          </cell>
          <cell r="AC34">
            <v>38717</v>
          </cell>
          <cell r="AL34" t="str">
            <v>2-Year PTP with EPRS Tier 1, AQR</v>
          </cell>
          <cell r="AM34" t="str">
            <v>2-Year PTP with EPRS Tier 1, AQR</v>
          </cell>
          <cell r="BS34" t="str">
            <v>2-Year PTP with ParRate, PIMCO Global Optima</v>
          </cell>
          <cell r="CF34" t="str">
            <v>Power 5 Protector</v>
          </cell>
          <cell r="CG34" t="str">
            <v>1-Year PTP with Cap, Russell 2000</v>
          </cell>
          <cell r="CH34">
            <v>0.1</v>
          </cell>
          <cell r="CI34" t="str">
            <v>1-Year PTP with Cap, Russell 2000</v>
          </cell>
          <cell r="CJ34">
            <v>0.1</v>
          </cell>
          <cell r="CK34" t="str">
            <v>1-Year PTP with Cap, Russell 2000</v>
          </cell>
          <cell r="CL34">
            <v>0.25</v>
          </cell>
          <cell r="CM34" t="str">
            <v>1-Year PTP with Cap, Russell 2000</v>
          </cell>
          <cell r="CN34">
            <v>0.2</v>
          </cell>
          <cell r="CO34" t="str">
            <v>1-Year PTP with Cap, Russell 2000</v>
          </cell>
          <cell r="CP34">
            <v>0</v>
          </cell>
        </row>
        <row r="35">
          <cell r="O35" t="str">
            <v>1-Year PTP with Secure ParRate</v>
          </cell>
          <cell r="P35" t="str">
            <v>1-Year PTP with Secure ParRate, Russell 2000</v>
          </cell>
          <cell r="Q35" t="str">
            <v>RUT</v>
          </cell>
          <cell r="R35" t="str">
            <v>1SPR</v>
          </cell>
          <cell r="S35" t="str">
            <v>RUT1SPR</v>
          </cell>
          <cell r="T35" t="str">
            <v>N/A</v>
          </cell>
          <cell r="U35" t="str">
            <v>N/A</v>
          </cell>
          <cell r="V35" t="str">
            <v>N/A</v>
          </cell>
          <cell r="W35" t="str">
            <v>N/A</v>
          </cell>
          <cell r="X35" t="str">
            <v>N/A</v>
          </cell>
          <cell r="Y35" t="str">
            <v>N/A</v>
          </cell>
          <cell r="Z35" t="str">
            <v>N/A</v>
          </cell>
          <cell r="AA35" t="str">
            <v>N/A</v>
          </cell>
          <cell r="AB35">
            <v>40908</v>
          </cell>
          <cell r="AC35">
            <v>38717</v>
          </cell>
          <cell r="AL35" t="str">
            <v>2-Year PTP with EPRS Tier 1, MLSB</v>
          </cell>
          <cell r="AM35" t="str">
            <v>2-Year PTP with EPRS Tier 1, MLSB</v>
          </cell>
          <cell r="BS35" t="str">
            <v>2-Year PTP with ParRate, S&amp;P 500</v>
          </cell>
          <cell r="CF35" t="str">
            <v>Power 5 Protector</v>
          </cell>
          <cell r="CG35" t="str">
            <v>1-Year PTP with Cap, MSCI</v>
          </cell>
          <cell r="CH35">
            <v>0.1</v>
          </cell>
          <cell r="CI35" t="str">
            <v>1-Year PTP with Cap, MSCI</v>
          </cell>
          <cell r="CJ35">
            <v>0.1</v>
          </cell>
          <cell r="CK35" t="str">
            <v>1-Year PTP with Cap, MSCI</v>
          </cell>
          <cell r="CL35">
            <v>0.25</v>
          </cell>
          <cell r="CM35" t="str">
            <v>1-Year PTP with Cap, MSCI</v>
          </cell>
          <cell r="CN35">
            <v>0.2</v>
          </cell>
          <cell r="CO35" t="str">
            <v>1-Year PTP with Cap, MSCI</v>
          </cell>
          <cell r="CP35">
            <v>0</v>
          </cell>
        </row>
        <row r="36">
          <cell r="O36" t="str">
            <v>1-Year Performance-Triggered Account</v>
          </cell>
          <cell r="P36" t="str">
            <v>1-Year Performance-Triggered Account, Russell 2000</v>
          </cell>
          <cell r="Q36" t="str">
            <v>RUT</v>
          </cell>
          <cell r="R36" t="str">
            <v>1PT</v>
          </cell>
          <cell r="S36" t="str">
            <v>RUT1PT</v>
          </cell>
          <cell r="T36" t="str">
            <v>N/A</v>
          </cell>
          <cell r="U36" t="str">
            <v>N/A</v>
          </cell>
          <cell r="V36" t="str">
            <v>N/A</v>
          </cell>
          <cell r="W36" t="str">
            <v>N/A</v>
          </cell>
          <cell r="X36" t="str">
            <v>N/A</v>
          </cell>
          <cell r="Y36" t="str">
            <v>N/A</v>
          </cell>
          <cell r="Z36" t="str">
            <v>N/A</v>
          </cell>
          <cell r="AA36" t="str">
            <v>N/A</v>
          </cell>
          <cell r="AB36">
            <v>40908</v>
          </cell>
          <cell r="AC36">
            <v>38717</v>
          </cell>
          <cell r="AL36" t="str">
            <v>2-Year PTP with EPRS Tier 1, PIMCO Global Optima</v>
          </cell>
          <cell r="AM36" t="str">
            <v>2-Year PTP with EPRS Tier 1, PIMCO Global Optima</v>
          </cell>
          <cell r="BS36" t="str">
            <v>2-Year PTP with Spread, MLSB</v>
          </cell>
          <cell r="CF36" t="str">
            <v>Power 5 Protector</v>
          </cell>
          <cell r="CG36" t="str">
            <v>1-Year PTP with Cap, PIMCO Global Optima</v>
          </cell>
          <cell r="CH36">
            <v>0.05</v>
          </cell>
          <cell r="CI36" t="str">
            <v>1-Year PTP with Cap, PIMCO Global Optima</v>
          </cell>
          <cell r="CJ36">
            <v>0.1</v>
          </cell>
          <cell r="CK36" t="str">
            <v>1-Year PTP with Cap, PIMCO Global Optima</v>
          </cell>
          <cell r="CL36">
            <v>0</v>
          </cell>
          <cell r="CM36" t="str">
            <v>1-Year PTP with Cap, PIMCO Global Optima</v>
          </cell>
          <cell r="CN36">
            <v>0.05</v>
          </cell>
          <cell r="CO36" t="str">
            <v>1-Year PTP with Cap, PIMCO Global Optima</v>
          </cell>
          <cell r="CP36">
            <v>0.1</v>
          </cell>
        </row>
        <row r="37">
          <cell r="O37" t="str">
            <v>1-Year PTP with Spread</v>
          </cell>
          <cell r="P37" t="str">
            <v>1-Year PTP with Spread, Russell 2000</v>
          </cell>
          <cell r="Q37" t="str">
            <v>RUT</v>
          </cell>
          <cell r="R37" t="str">
            <v>1S</v>
          </cell>
          <cell r="S37" t="str">
            <v>RUT1S</v>
          </cell>
          <cell r="T37" t="str">
            <v>N/A</v>
          </cell>
          <cell r="U37" t="str">
            <v>N/A</v>
          </cell>
          <cell r="V37" t="str">
            <v>N/A</v>
          </cell>
          <cell r="W37" t="str">
            <v>N/A</v>
          </cell>
          <cell r="X37" t="str">
            <v>N/A</v>
          </cell>
          <cell r="Y37" t="str">
            <v>N/A</v>
          </cell>
          <cell r="Z37" t="str">
            <v>N/A</v>
          </cell>
          <cell r="AA37" t="str">
            <v>N/A</v>
          </cell>
          <cell r="AB37">
            <v>40908</v>
          </cell>
          <cell r="AC37">
            <v>38717</v>
          </cell>
          <cell r="AL37" t="str">
            <v>2-Year PTP with ParRate, AQR</v>
          </cell>
          <cell r="AM37" t="str">
            <v>2-Year PTP with ParRate, AQR</v>
          </cell>
          <cell r="CF37" t="str">
            <v>Power 5 Protector</v>
          </cell>
          <cell r="CG37" t="str">
            <v>1-Year PTP with ParRate, MLSB</v>
          </cell>
          <cell r="CH37">
            <v>0.05</v>
          </cell>
          <cell r="CI37" t="str">
            <v>1-Year PTP with ParRate, MLSB</v>
          </cell>
          <cell r="CJ37">
            <v>0.1</v>
          </cell>
          <cell r="CK37" t="str">
            <v>1-Year PTP with ParRate, MLSB</v>
          </cell>
          <cell r="CL37">
            <v>0</v>
          </cell>
          <cell r="CM37" t="str">
            <v>1-Year PTP with ParRate, MLSB</v>
          </cell>
          <cell r="CN37">
            <v>0.05</v>
          </cell>
          <cell r="CO37" t="str">
            <v>1-Year PTP with ParRate, MLSB</v>
          </cell>
          <cell r="CP37">
            <v>0.4</v>
          </cell>
        </row>
        <row r="38">
          <cell r="O38" t="str">
            <v>1-Year PTP with ParRate &amp; Cap</v>
          </cell>
          <cell r="P38" t="str">
            <v>1-Year PTP with ParRate &amp; Cap, Russell 2000</v>
          </cell>
          <cell r="Q38" t="str">
            <v>RUT</v>
          </cell>
          <cell r="R38" t="str">
            <v>1PRC</v>
          </cell>
          <cell r="S38" t="str">
            <v>RUT1PRC</v>
          </cell>
          <cell r="T38" t="str">
            <v>N/A</v>
          </cell>
          <cell r="U38" t="str">
            <v>N/A</v>
          </cell>
          <cell r="V38" t="str">
            <v>N/A</v>
          </cell>
          <cell r="W38" t="str">
            <v>N/A</v>
          </cell>
          <cell r="X38" t="str">
            <v>N/A</v>
          </cell>
          <cell r="Y38" t="str">
            <v>N/A</v>
          </cell>
          <cell r="Z38" t="str">
            <v>N/A</v>
          </cell>
          <cell r="AA38" t="str">
            <v>N/A</v>
          </cell>
          <cell r="AB38">
            <v>40908</v>
          </cell>
          <cell r="AC38">
            <v>38717</v>
          </cell>
          <cell r="AL38" t="str">
            <v>2-Year PTP with ParRate, MLSB</v>
          </cell>
          <cell r="AM38" t="str">
            <v>2-Year PTP with ParRate, MLSB</v>
          </cell>
          <cell r="CF38">
            <v>4</v>
          </cell>
          <cell r="CH38" t="str">
            <v>ü</v>
          </cell>
          <cell r="CJ38" t="str">
            <v>ü</v>
          </cell>
          <cell r="CL38" t="str">
            <v>ü</v>
          </cell>
          <cell r="CN38" t="str">
            <v>ü</v>
          </cell>
          <cell r="CP38" t="str">
            <v>ü</v>
          </cell>
        </row>
        <row r="39">
          <cell r="O39" t="str">
            <v>1-Year PTP with ParRate &amp; Spread</v>
          </cell>
          <cell r="P39" t="str">
            <v>1-Year PTP with ParRate &amp; Spread, Russell 2000</v>
          </cell>
          <cell r="Q39" t="str">
            <v>RUT</v>
          </cell>
          <cell r="R39" t="str">
            <v>1PRS</v>
          </cell>
          <cell r="S39" t="str">
            <v>RUT1PRS</v>
          </cell>
          <cell r="T39" t="str">
            <v>N/A</v>
          </cell>
          <cell r="U39" t="str">
            <v>N/A</v>
          </cell>
          <cell r="V39" t="str">
            <v>N/A</v>
          </cell>
          <cell r="W39" t="str">
            <v>N/A</v>
          </cell>
          <cell r="X39" t="str">
            <v>N/A</v>
          </cell>
          <cell r="Y39" t="str">
            <v>N/A</v>
          </cell>
          <cell r="Z39" t="str">
            <v>N/A</v>
          </cell>
          <cell r="AA39" t="str">
            <v>N/A</v>
          </cell>
          <cell r="AB39">
            <v>40908</v>
          </cell>
          <cell r="AC39">
            <v>38717</v>
          </cell>
          <cell r="AL39" t="str">
            <v>2-Year PTP with ParRate, PIMCO Global Optima</v>
          </cell>
          <cell r="AM39" t="str">
            <v>2-Year PTP with ParRate, PIMCO Global Optima</v>
          </cell>
          <cell r="CF39" t="str">
            <v>Power 7 Protector</v>
          </cell>
          <cell r="CG39" t="str">
            <v>1-Year Fixed Rate, Fixed Account</v>
          </cell>
          <cell r="CH39">
            <v>0</v>
          </cell>
          <cell r="CI39" t="str">
            <v>1-Year Fixed Rate, Fixed Account</v>
          </cell>
          <cell r="CJ39">
            <v>0</v>
          </cell>
          <cell r="CK39" t="str">
            <v>1-Year Fixed Rate, Fixed Account</v>
          </cell>
          <cell r="CL39">
            <v>0</v>
          </cell>
          <cell r="CM39" t="str">
            <v>1-Year Fixed Rate, Fixed Account</v>
          </cell>
          <cell r="CN39">
            <v>0.1</v>
          </cell>
          <cell r="CO39" t="str">
            <v>1-Year Fixed Rate, Fixed Account</v>
          </cell>
          <cell r="CP39">
            <v>0.1</v>
          </cell>
        </row>
        <row r="40">
          <cell r="O40" t="str">
            <v>1-Year PTP with EPRS Tier 1</v>
          </cell>
          <cell r="P40" t="str">
            <v>1-Year PTP with EPRS Tier 1, Russell 2000</v>
          </cell>
          <cell r="Q40" t="str">
            <v>RUT</v>
          </cell>
          <cell r="R40" t="str">
            <v>1EPRST1</v>
          </cell>
          <cell r="S40" t="str">
            <v>RUT1EPRST1</v>
          </cell>
          <cell r="T40" t="str">
            <v>N/A</v>
          </cell>
          <cell r="U40" t="str">
            <v>N/A</v>
          </cell>
          <cell r="V40" t="str">
            <v>N/A</v>
          </cell>
          <cell r="W40" t="str">
            <v>N/A</v>
          </cell>
          <cell r="X40" t="str">
            <v>N/A</v>
          </cell>
          <cell r="Y40" t="str">
            <v>N/A</v>
          </cell>
          <cell r="Z40" t="str">
            <v>N/A</v>
          </cell>
          <cell r="AA40" t="str">
            <v>N/A</v>
          </cell>
          <cell r="AB40">
            <v>40908</v>
          </cell>
          <cell r="AC40">
            <v>38717</v>
          </cell>
          <cell r="AL40" t="str">
            <v>5-Year PTP with Cap, S&amp;P 500</v>
          </cell>
          <cell r="AM40" t="str">
            <v>5-Year PTP with Cap, S&amp;P 500</v>
          </cell>
          <cell r="CF40" t="str">
            <v>Power 7 Protector</v>
          </cell>
          <cell r="CG40" t="str">
            <v>1-Year PTP with Secure Cap, S&amp;P 500</v>
          </cell>
          <cell r="CH40">
            <v>0.7</v>
          </cell>
          <cell r="CI40" t="str">
            <v>1-Year PTP with Secure Cap, S&amp;P 500</v>
          </cell>
          <cell r="CJ40">
            <v>0.6</v>
          </cell>
          <cell r="CK40" t="str">
            <v>1-Year PTP with Secure Cap, S&amp;P 500</v>
          </cell>
          <cell r="CL40">
            <v>0.5</v>
          </cell>
          <cell r="CM40" t="str">
            <v>1-Year PTP with Secure Cap, S&amp;P 500</v>
          </cell>
          <cell r="CN40">
            <v>0.4</v>
          </cell>
          <cell r="CO40" t="str">
            <v>1-Year PTP with Secure Cap, S&amp;P 500</v>
          </cell>
          <cell r="CP40">
            <v>0.4</v>
          </cell>
        </row>
        <row r="41">
          <cell r="O41" t="str">
            <v>1-Year PTP with EPRS Tier 2</v>
          </cell>
          <cell r="P41" t="str">
            <v>1-Year PTP with EPRS Tier 2, Russell 2000</v>
          </cell>
          <cell r="Q41" t="str">
            <v>RUT</v>
          </cell>
          <cell r="R41" t="str">
            <v>1EPRST2</v>
          </cell>
          <cell r="S41" t="str">
            <v>RUT1EPRST2</v>
          </cell>
          <cell r="T41" t="str">
            <v>N/A</v>
          </cell>
          <cell r="U41" t="str">
            <v>N/A</v>
          </cell>
          <cell r="V41" t="str">
            <v>N/A</v>
          </cell>
          <cell r="W41" t="str">
            <v>N/A</v>
          </cell>
          <cell r="X41" t="str">
            <v>N/A</v>
          </cell>
          <cell r="Y41" t="str">
            <v>N/A</v>
          </cell>
          <cell r="Z41" t="str">
            <v>N/A</v>
          </cell>
          <cell r="AA41" t="str">
            <v>N/A</v>
          </cell>
          <cell r="AB41">
            <v>40908</v>
          </cell>
          <cell r="AC41">
            <v>38717</v>
          </cell>
          <cell r="CF41" t="str">
            <v>Power 7 Protector</v>
          </cell>
          <cell r="CG41" t="str">
            <v>1-Year PTP with Cap, S&amp;P 500</v>
          </cell>
          <cell r="CH41">
            <v>0</v>
          </cell>
          <cell r="CI41" t="str">
            <v>1-Year PTP with Cap, S&amp;P 500</v>
          </cell>
          <cell r="CJ41">
            <v>0</v>
          </cell>
          <cell r="CK41" t="str">
            <v>1-Year PTP with Cap, S&amp;P 500</v>
          </cell>
          <cell r="CL41">
            <v>0</v>
          </cell>
          <cell r="CM41" t="str">
            <v>1-Year PTP with Cap, S&amp;P 500</v>
          </cell>
          <cell r="CN41">
            <v>0</v>
          </cell>
          <cell r="CO41" t="str">
            <v>1-Year PTP with Cap, S&amp;P 500</v>
          </cell>
          <cell r="CP41">
            <v>0</v>
          </cell>
        </row>
        <row r="42">
          <cell r="O42" t="str">
            <v>2-Year PTP with Cap</v>
          </cell>
          <cell r="P42" t="str">
            <v>2-Year PTP with Cap, Russell 2000</v>
          </cell>
          <cell r="Q42" t="str">
            <v>RUT</v>
          </cell>
          <cell r="R42" t="str">
            <v>2C</v>
          </cell>
          <cell r="S42" t="str">
            <v>RUT2C</v>
          </cell>
          <cell r="T42" t="str">
            <v>N/A</v>
          </cell>
          <cell r="U42" t="str">
            <v>N/A</v>
          </cell>
          <cell r="V42" t="str">
            <v>N/A</v>
          </cell>
          <cell r="W42" t="str">
            <v>N/A</v>
          </cell>
          <cell r="X42" t="str">
            <v>N/A</v>
          </cell>
          <cell r="Y42" t="str">
            <v>N/A</v>
          </cell>
          <cell r="Z42" t="str">
            <v>N/A</v>
          </cell>
          <cell r="AA42" t="str">
            <v>N/A</v>
          </cell>
          <cell r="AB42">
            <v>40908</v>
          </cell>
          <cell r="AC42">
            <v>38717</v>
          </cell>
          <cell r="CF42" t="str">
            <v>Power 7 Protector</v>
          </cell>
          <cell r="CG42" t="str">
            <v>5-Year PTP with Cap, S&amp;P 500</v>
          </cell>
          <cell r="CH42">
            <v>0</v>
          </cell>
          <cell r="CI42" t="str">
            <v>5-Year PTP with Cap, S&amp;P 500</v>
          </cell>
          <cell r="CJ42">
            <v>0</v>
          </cell>
          <cell r="CK42" t="str">
            <v>5-Year PTP with Cap, S&amp;P 500</v>
          </cell>
          <cell r="CL42">
            <v>0</v>
          </cell>
          <cell r="CM42" t="str">
            <v>5-Year PTP with Cap, S&amp;P 500</v>
          </cell>
          <cell r="CN42">
            <v>0</v>
          </cell>
          <cell r="CO42" t="str">
            <v>5-Year PTP with Cap, S&amp;P 500</v>
          </cell>
          <cell r="CP42">
            <v>0</v>
          </cell>
        </row>
        <row r="43">
          <cell r="C43" t="str">
            <v>GSPC</v>
          </cell>
          <cell r="G43">
            <v>0.4</v>
          </cell>
          <cell r="O43" t="str">
            <v>2-Year PTP with ParRate</v>
          </cell>
          <cell r="P43" t="str">
            <v>2-Year PTP with ParRate, Russell 2000</v>
          </cell>
          <cell r="Q43" t="str">
            <v>RUT</v>
          </cell>
          <cell r="R43" t="str">
            <v>2PR</v>
          </cell>
          <cell r="S43" t="str">
            <v>RUT2PR</v>
          </cell>
          <cell r="T43" t="str">
            <v>N/A</v>
          </cell>
          <cell r="U43" t="str">
            <v>N/A</v>
          </cell>
          <cell r="V43" t="str">
            <v>N/A</v>
          </cell>
          <cell r="W43" t="str">
            <v>N/A</v>
          </cell>
          <cell r="X43" t="str">
            <v>N/A</v>
          </cell>
          <cell r="Y43" t="str">
            <v>N/A</v>
          </cell>
          <cell r="Z43" t="str">
            <v>N/A</v>
          </cell>
          <cell r="AA43" t="str">
            <v>N/A</v>
          </cell>
          <cell r="AB43">
            <v>40908</v>
          </cell>
          <cell r="AC43">
            <v>38717</v>
          </cell>
          <cell r="CF43" t="str">
            <v>Power 7 Protector</v>
          </cell>
          <cell r="CG43" t="str">
            <v>1-Year PTP with Cap, Russell 2000</v>
          </cell>
          <cell r="CH43">
            <v>0.1</v>
          </cell>
          <cell r="CI43" t="str">
            <v>1-Year PTP with Cap, Russell 2000</v>
          </cell>
          <cell r="CJ43">
            <v>0.1</v>
          </cell>
          <cell r="CK43" t="str">
            <v>1-Year PTP with Cap, Russell 2000</v>
          </cell>
          <cell r="CL43">
            <v>0.25</v>
          </cell>
          <cell r="CM43" t="str">
            <v>1-Year PTP with Cap, Russell 2000</v>
          </cell>
          <cell r="CN43">
            <v>0.2</v>
          </cell>
          <cell r="CO43" t="str">
            <v>1-Year PTP with Cap, Russell 2000</v>
          </cell>
          <cell r="CP43">
            <v>0</v>
          </cell>
        </row>
        <row r="44">
          <cell r="C44" t="str">
            <v>RUT</v>
          </cell>
          <cell r="G44">
            <v>0</v>
          </cell>
          <cell r="O44" t="str">
            <v>2-Year PTP with Spread</v>
          </cell>
          <cell r="P44" t="str">
            <v>2-Year PTP with Spread, Russell 2000</v>
          </cell>
          <cell r="Q44" t="str">
            <v>RUT</v>
          </cell>
          <cell r="R44" t="str">
            <v>2S</v>
          </cell>
          <cell r="S44" t="str">
            <v>RUT2S</v>
          </cell>
          <cell r="T44" t="str">
            <v>N/A</v>
          </cell>
          <cell r="U44" t="str">
            <v>N/A</v>
          </cell>
          <cell r="V44" t="str">
            <v>N/A</v>
          </cell>
          <cell r="W44" t="str">
            <v>N/A</v>
          </cell>
          <cell r="X44" t="str">
            <v>N/A</v>
          </cell>
          <cell r="Y44" t="str">
            <v>N/A</v>
          </cell>
          <cell r="Z44" t="str">
            <v>N/A</v>
          </cell>
          <cell r="AA44" t="str">
            <v>N/A</v>
          </cell>
          <cell r="AB44">
            <v>40908</v>
          </cell>
          <cell r="AC44">
            <v>38717</v>
          </cell>
          <cell r="CF44" t="str">
            <v>Power 7 Protector</v>
          </cell>
          <cell r="CG44" t="str">
            <v>1-Year PTP with Cap, MSCI</v>
          </cell>
          <cell r="CH44">
            <v>0.1</v>
          </cell>
          <cell r="CI44" t="str">
            <v>1-Year PTP with Cap, MSCI</v>
          </cell>
          <cell r="CJ44">
            <v>0.1</v>
          </cell>
          <cell r="CK44" t="str">
            <v>1-Year PTP with Cap, MSCI</v>
          </cell>
          <cell r="CL44">
            <v>0.25</v>
          </cell>
          <cell r="CM44" t="str">
            <v>1-Year PTP with Cap, MSCI</v>
          </cell>
          <cell r="CN44">
            <v>0.2</v>
          </cell>
          <cell r="CO44" t="str">
            <v>1-Year PTP with Cap, MSCI</v>
          </cell>
          <cell r="CP44">
            <v>0</v>
          </cell>
        </row>
        <row r="45">
          <cell r="C45" t="str">
            <v>NDX</v>
          </cell>
          <cell r="G45">
            <v>0</v>
          </cell>
          <cell r="O45" t="str">
            <v>2-Year PTP with ParRate &amp; Spread</v>
          </cell>
          <cell r="P45" t="str">
            <v>2-Year PTP with ParRate &amp; Spread, Russell 2000</v>
          </cell>
          <cell r="Q45" t="str">
            <v>RUT</v>
          </cell>
          <cell r="R45" t="str">
            <v>2PRS</v>
          </cell>
          <cell r="S45" t="str">
            <v>RUT2PRS</v>
          </cell>
          <cell r="T45" t="str">
            <v>N/A</v>
          </cell>
          <cell r="U45" t="str">
            <v>N/A</v>
          </cell>
          <cell r="V45" t="str">
            <v>N/A</v>
          </cell>
          <cell r="W45" t="str">
            <v>N/A</v>
          </cell>
          <cell r="X45" t="str">
            <v>N/A</v>
          </cell>
          <cell r="Y45" t="str">
            <v>N/A</v>
          </cell>
          <cell r="Z45" t="str">
            <v>N/A</v>
          </cell>
          <cell r="AA45" t="str">
            <v>N/A</v>
          </cell>
          <cell r="AB45">
            <v>40908</v>
          </cell>
          <cell r="AC45">
            <v>38717</v>
          </cell>
          <cell r="CF45" t="str">
            <v>Power 7 Protector</v>
          </cell>
          <cell r="CG45" t="str">
            <v>1-Year PTP with Cap, PIMCO Global Optima</v>
          </cell>
          <cell r="CH45">
            <v>0.05</v>
          </cell>
          <cell r="CI45" t="str">
            <v>1-Year PTP with Cap, PIMCO Global Optima</v>
          </cell>
          <cell r="CJ45">
            <v>0.1</v>
          </cell>
          <cell r="CK45" t="str">
            <v>1-Year PTP with Cap, PIMCO Global Optima</v>
          </cell>
          <cell r="CL45">
            <v>0</v>
          </cell>
          <cell r="CM45" t="str">
            <v>1-Year PTP with Cap, PIMCO Global Optima</v>
          </cell>
          <cell r="CN45">
            <v>0.05</v>
          </cell>
          <cell r="CO45" t="str">
            <v>1-Year PTP with Cap, PIMCO Global Optima</v>
          </cell>
          <cell r="CP45">
            <v>0.1</v>
          </cell>
        </row>
        <row r="46">
          <cell r="C46" t="str">
            <v>ABALLMKT</v>
          </cell>
          <cell r="G46">
            <v>0</v>
          </cell>
          <cell r="O46" t="str">
            <v>2-Year PTP with EPRS Tier 1</v>
          </cell>
          <cell r="P46" t="str">
            <v>2-Year PTP with EPRS Tier 1, Russell 2000</v>
          </cell>
          <cell r="Q46" t="str">
            <v>RUT</v>
          </cell>
          <cell r="R46" t="str">
            <v>2EPRST1</v>
          </cell>
          <cell r="S46" t="str">
            <v>RUT2EPRST1</v>
          </cell>
          <cell r="T46" t="str">
            <v>N/A</v>
          </cell>
          <cell r="U46" t="str">
            <v>N/A</v>
          </cell>
          <cell r="V46" t="str">
            <v>N/A</v>
          </cell>
          <cell r="W46" t="str">
            <v>N/A</v>
          </cell>
          <cell r="X46" t="str">
            <v>N/A</v>
          </cell>
          <cell r="Y46" t="str">
            <v>N/A</v>
          </cell>
          <cell r="Z46" t="str">
            <v>N/A</v>
          </cell>
          <cell r="AA46" t="str">
            <v>N/A</v>
          </cell>
          <cell r="AB46">
            <v>40908</v>
          </cell>
          <cell r="AC46">
            <v>38717</v>
          </cell>
          <cell r="CF46" t="str">
            <v>Power 7 Protector</v>
          </cell>
          <cell r="CG46" t="str">
            <v>1-Year PTP with ParRate, MLSB</v>
          </cell>
          <cell r="CH46">
            <v>0.05</v>
          </cell>
          <cell r="CI46" t="str">
            <v>1-Year PTP with ParRate, MLSB</v>
          </cell>
          <cell r="CJ46">
            <v>0.1</v>
          </cell>
          <cell r="CK46" t="str">
            <v>1-Year PTP with ParRate, MLSB</v>
          </cell>
          <cell r="CL46">
            <v>0</v>
          </cell>
          <cell r="CM46" t="str">
            <v>1-Year PTP with ParRate, MLSB</v>
          </cell>
          <cell r="CN46">
            <v>0.05</v>
          </cell>
          <cell r="CO46" t="str">
            <v>1-Year PTP with ParRate, MLSB</v>
          </cell>
          <cell r="CP46">
            <v>0.4</v>
          </cell>
        </row>
        <row r="47">
          <cell r="C47" t="str">
            <v>AQRDAI5</v>
          </cell>
          <cell r="G47">
            <v>0</v>
          </cell>
          <cell r="O47" t="str">
            <v>2-Year PTP with EPRS Tier 2</v>
          </cell>
          <cell r="P47" t="str">
            <v>2-Year PTP with EPRS Tier 2, Russell 2000</v>
          </cell>
          <cell r="Q47" t="str">
            <v>RUT</v>
          </cell>
          <cell r="R47" t="str">
            <v>2EPRST2</v>
          </cell>
          <cell r="S47" t="str">
            <v>RUT2EPRST2</v>
          </cell>
          <cell r="T47" t="str">
            <v>N/A</v>
          </cell>
          <cell r="U47" t="str">
            <v>N/A</v>
          </cell>
          <cell r="V47" t="str">
            <v>N/A</v>
          </cell>
          <cell r="W47" t="str">
            <v>N/A</v>
          </cell>
          <cell r="X47" t="str">
            <v>N/A</v>
          </cell>
          <cell r="Y47" t="str">
            <v>N/A</v>
          </cell>
          <cell r="Z47" t="str">
            <v>N/A</v>
          </cell>
          <cell r="AA47" t="str">
            <v>N/A</v>
          </cell>
          <cell r="AB47">
            <v>40908</v>
          </cell>
          <cell r="AC47">
            <v>38717</v>
          </cell>
          <cell r="CF47">
            <v>5</v>
          </cell>
          <cell r="CH47" t="str">
            <v>ü</v>
          </cell>
          <cell r="CJ47" t="str">
            <v>ü</v>
          </cell>
          <cell r="CL47" t="str">
            <v>ü</v>
          </cell>
          <cell r="CN47" t="str">
            <v>ü</v>
          </cell>
          <cell r="CP47" t="str">
            <v>ü</v>
          </cell>
        </row>
        <row r="48">
          <cell r="C48" t="str">
            <v>AQRDAI5sna</v>
          </cell>
          <cell r="G48">
            <v>0</v>
          </cell>
          <cell r="O48" t="str">
            <v>5-Year PTP with Cap</v>
          </cell>
          <cell r="P48" t="str">
            <v>5-Year PTP with Cap, Russell 2000</v>
          </cell>
          <cell r="Q48" t="str">
            <v>RUT</v>
          </cell>
          <cell r="R48" t="str">
            <v>5C</v>
          </cell>
          <cell r="S48" t="str">
            <v>RUT5C</v>
          </cell>
          <cell r="T48" t="str">
            <v>N/A</v>
          </cell>
          <cell r="U48" t="str">
            <v>N/A</v>
          </cell>
          <cell r="V48" t="str">
            <v>N/A</v>
          </cell>
          <cell r="W48" t="str">
            <v>N/A</v>
          </cell>
          <cell r="X48" t="str">
            <v>N/A</v>
          </cell>
          <cell r="Y48" t="str">
            <v>N/A</v>
          </cell>
          <cell r="Z48" t="str">
            <v>N/A</v>
          </cell>
          <cell r="AA48" t="str">
            <v>N/A</v>
          </cell>
          <cell r="AB48">
            <v>40908</v>
          </cell>
          <cell r="AC48">
            <v>38717</v>
          </cell>
          <cell r="CF48" t="str">
            <v>Power Index Plus</v>
          </cell>
          <cell r="CG48" t="str">
            <v>1-Year Fixed Rate, Fixed Account</v>
          </cell>
          <cell r="CH48">
            <v>0</v>
          </cell>
          <cell r="CI48" t="str">
            <v>1-Year Fixed Rate, Fixed Account</v>
          </cell>
          <cell r="CJ48">
            <v>0</v>
          </cell>
          <cell r="CK48" t="str">
            <v>1-Year Fixed Rate, Fixed Account</v>
          </cell>
          <cell r="CL48">
            <v>0</v>
          </cell>
          <cell r="CM48" t="str">
            <v>1-Year Fixed Rate, Fixed Account</v>
          </cell>
          <cell r="CN48">
            <v>0.1</v>
          </cell>
          <cell r="CO48" t="str">
            <v>1-Year Fixed Rate, Fixed Account</v>
          </cell>
          <cell r="CP48">
            <v>0.1</v>
          </cell>
        </row>
        <row r="49">
          <cell r="C49" t="str">
            <v>DFAUSFDS</v>
          </cell>
          <cell r="G49">
            <v>0</v>
          </cell>
          <cell r="N49" t="str">
            <v>NASDAQ-100</v>
          </cell>
          <cell r="O49" t="str">
            <v>1-Year PTP with Cap</v>
          </cell>
          <cell r="P49" t="str">
            <v>1-Year PTP with Cap, NASDAQ-100</v>
          </cell>
          <cell r="Q49" t="str">
            <v>NDX</v>
          </cell>
          <cell r="R49" t="str">
            <v>1C</v>
          </cell>
          <cell r="S49" t="str">
            <v>NDX1C</v>
          </cell>
          <cell r="T49" t="str">
            <v>N/A</v>
          </cell>
          <cell r="U49" t="str">
            <v>N/A</v>
          </cell>
          <cell r="V49" t="str">
            <v>N/A</v>
          </cell>
          <cell r="W49" t="str">
            <v>N/A</v>
          </cell>
          <cell r="X49" t="str">
            <v>N/A</v>
          </cell>
          <cell r="Y49" t="str">
            <v>N/A</v>
          </cell>
          <cell r="Z49" t="str">
            <v>N/A</v>
          </cell>
          <cell r="AA49" t="str">
            <v>N/A</v>
          </cell>
          <cell r="AB49">
            <v>40908</v>
          </cell>
          <cell r="AC49">
            <v>39082</v>
          </cell>
          <cell r="CF49" t="str">
            <v>Power Index Plus</v>
          </cell>
          <cell r="CG49" t="str">
            <v>1-Year PTP with Secure Cap, S&amp;P 500</v>
          </cell>
          <cell r="CH49">
            <v>0.7</v>
          </cell>
          <cell r="CI49" t="str">
            <v>1-Year PTP with Secure Cap, S&amp;P 500</v>
          </cell>
          <cell r="CJ49">
            <v>0.6</v>
          </cell>
          <cell r="CK49" t="str">
            <v>1-Year PTP with Secure Cap, S&amp;P 500</v>
          </cell>
          <cell r="CL49">
            <v>0.5</v>
          </cell>
          <cell r="CM49" t="str">
            <v>1-Year PTP with Secure Cap, S&amp;P 500</v>
          </cell>
          <cell r="CN49">
            <v>0.4</v>
          </cell>
          <cell r="CO49" t="str">
            <v>1-Year PTP with Secure Cap, S&amp;P 500</v>
          </cell>
          <cell r="CP49">
            <v>0.4</v>
          </cell>
        </row>
        <row r="50">
          <cell r="C50" t="str">
            <v>EAFE</v>
          </cell>
          <cell r="G50">
            <v>0</v>
          </cell>
          <cell r="O50" t="str">
            <v>1-Year PTP with Secure Cap</v>
          </cell>
          <cell r="P50" t="str">
            <v>1-Year PTP with Secure Cap, NASDAQ-100</v>
          </cell>
          <cell r="Q50" t="str">
            <v>NDX</v>
          </cell>
          <cell r="R50" t="str">
            <v>1SC</v>
          </cell>
          <cell r="S50" t="str">
            <v>NDX1SC</v>
          </cell>
          <cell r="T50" t="str">
            <v>N/A</v>
          </cell>
          <cell r="U50" t="str">
            <v>N/A</v>
          </cell>
          <cell r="V50" t="str">
            <v>N/A</v>
          </cell>
          <cell r="W50" t="str">
            <v>N/A</v>
          </cell>
          <cell r="X50" t="str">
            <v>N/A</v>
          </cell>
          <cell r="Y50" t="str">
            <v>N/A</v>
          </cell>
          <cell r="Z50" t="str">
            <v>N/A</v>
          </cell>
          <cell r="AA50" t="str">
            <v>N/A</v>
          </cell>
          <cell r="AB50">
            <v>40908</v>
          </cell>
          <cell r="AC50">
            <v>39082</v>
          </cell>
          <cell r="CF50" t="str">
            <v>Power Index Plus</v>
          </cell>
          <cell r="CG50" t="str">
            <v>1-Year PTP with Cap, S&amp;P 500</v>
          </cell>
          <cell r="CH50">
            <v>0</v>
          </cell>
          <cell r="CI50" t="str">
            <v>1-Year PTP with Cap, S&amp;P 500</v>
          </cell>
          <cell r="CJ50">
            <v>0</v>
          </cell>
          <cell r="CK50" t="str">
            <v>1-Year PTP with Cap, S&amp;P 500</v>
          </cell>
          <cell r="CL50">
            <v>0</v>
          </cell>
          <cell r="CM50" t="str">
            <v>1-Year PTP with Cap, S&amp;P 500</v>
          </cell>
          <cell r="CN50">
            <v>0</v>
          </cell>
          <cell r="CO50" t="str">
            <v>1-Year PTP with Cap, S&amp;P 500</v>
          </cell>
          <cell r="CP50">
            <v>0</v>
          </cell>
        </row>
        <row r="51">
          <cell r="C51" t="str">
            <v>FQD</v>
          </cell>
          <cell r="G51">
            <v>0</v>
          </cell>
          <cell r="O51" t="str">
            <v>1-Year PTP with ParRate</v>
          </cell>
          <cell r="P51" t="str">
            <v>1-Year PTP with ParRate, NASDAQ-100</v>
          </cell>
          <cell r="Q51" t="str">
            <v>NDX</v>
          </cell>
          <cell r="R51" t="str">
            <v>1PR</v>
          </cell>
          <cell r="S51" t="str">
            <v>NDX1PR</v>
          </cell>
          <cell r="T51" t="str">
            <v>N/A</v>
          </cell>
          <cell r="U51" t="str">
            <v>N/A</v>
          </cell>
          <cell r="V51" t="str">
            <v>N/A</v>
          </cell>
          <cell r="W51" t="str">
            <v>N/A</v>
          </cell>
          <cell r="X51" t="str">
            <v>N/A</v>
          </cell>
          <cell r="Y51" t="str">
            <v>N/A</v>
          </cell>
          <cell r="Z51" t="str">
            <v>N/A</v>
          </cell>
          <cell r="AA51" t="str">
            <v>N/A</v>
          </cell>
          <cell r="AB51">
            <v>40908</v>
          </cell>
          <cell r="AC51">
            <v>39082</v>
          </cell>
          <cell r="CF51" t="str">
            <v>Power Index Plus</v>
          </cell>
          <cell r="CG51" t="str">
            <v>5-Year PTP with Cap, S&amp;P 500</v>
          </cell>
          <cell r="CH51">
            <v>0</v>
          </cell>
          <cell r="CI51" t="str">
            <v>5-Year PTP with Cap, S&amp;P 500</v>
          </cell>
          <cell r="CJ51">
            <v>0</v>
          </cell>
          <cell r="CK51" t="str">
            <v>5-Year PTP with Cap, S&amp;P 500</v>
          </cell>
          <cell r="CL51">
            <v>0</v>
          </cell>
          <cell r="CM51" t="str">
            <v>5-Year PTP with Cap, S&amp;P 500</v>
          </cell>
          <cell r="CN51">
            <v>0</v>
          </cell>
          <cell r="CO51" t="str">
            <v>5-Year PTP with Cap, S&amp;P 500</v>
          </cell>
          <cell r="CP51">
            <v>0</v>
          </cell>
        </row>
        <row r="52">
          <cell r="C52" t="str">
            <v>MLSB</v>
          </cell>
          <cell r="G52">
            <v>0.4</v>
          </cell>
          <cell r="O52" t="str">
            <v>1-Year PTP with Secure ParRate</v>
          </cell>
          <cell r="P52" t="str">
            <v>1-Year PTP with Secure ParRate, NASDAQ-100</v>
          </cell>
          <cell r="Q52" t="str">
            <v>NDX</v>
          </cell>
          <cell r="R52" t="str">
            <v>1SPR</v>
          </cell>
          <cell r="S52" t="str">
            <v>NDX1SPR</v>
          </cell>
          <cell r="T52" t="str">
            <v>N/A</v>
          </cell>
          <cell r="U52" t="str">
            <v>N/A</v>
          </cell>
          <cell r="V52" t="str">
            <v>N/A</v>
          </cell>
          <cell r="W52" t="str">
            <v>N/A</v>
          </cell>
          <cell r="X52" t="str">
            <v>N/A</v>
          </cell>
          <cell r="Y52" t="str">
            <v>N/A</v>
          </cell>
          <cell r="Z52" t="str">
            <v>N/A</v>
          </cell>
          <cell r="AA52" t="str">
            <v>N/A</v>
          </cell>
          <cell r="AB52">
            <v>40908</v>
          </cell>
          <cell r="AC52">
            <v>39082</v>
          </cell>
          <cell r="CF52" t="str">
            <v>Power Index Plus</v>
          </cell>
          <cell r="CG52" t="str">
            <v>1-Year PTP with Cap, Russell 2000</v>
          </cell>
          <cell r="CH52">
            <v>0.1</v>
          </cell>
          <cell r="CI52" t="str">
            <v>1-Year PTP with Cap, Russell 2000</v>
          </cell>
          <cell r="CJ52">
            <v>0.1</v>
          </cell>
          <cell r="CK52" t="str">
            <v>1-Year PTP with Cap, Russell 2000</v>
          </cell>
          <cell r="CL52">
            <v>0.25</v>
          </cell>
          <cell r="CM52" t="str">
            <v>1-Year PTP with Cap, Russell 2000</v>
          </cell>
          <cell r="CN52">
            <v>0.2</v>
          </cell>
          <cell r="CO52" t="str">
            <v>1-Year PTP with Cap, Russell 2000</v>
          </cell>
          <cell r="CP52">
            <v>0</v>
          </cell>
        </row>
        <row r="53">
          <cell r="C53" t="str">
            <v>PIMGEM</v>
          </cell>
          <cell r="G53">
            <v>0</v>
          </cell>
          <cell r="O53" t="str">
            <v>1-Year Performance-Triggered Account</v>
          </cell>
          <cell r="P53" t="str">
            <v>1-Year Performance-Triggered Account, NASDAQ-100</v>
          </cell>
          <cell r="Q53" t="str">
            <v>NDX</v>
          </cell>
          <cell r="R53" t="str">
            <v>1PT</v>
          </cell>
          <cell r="S53" t="str">
            <v>NDX1PT</v>
          </cell>
          <cell r="T53" t="str">
            <v>N/A</v>
          </cell>
          <cell r="U53" t="str">
            <v>N/A</v>
          </cell>
          <cell r="V53" t="str">
            <v>N/A</v>
          </cell>
          <cell r="W53" t="str">
            <v>N/A</v>
          </cell>
          <cell r="X53" t="str">
            <v>N/A</v>
          </cell>
          <cell r="Y53" t="str">
            <v>N/A</v>
          </cell>
          <cell r="Z53" t="str">
            <v>N/A</v>
          </cell>
          <cell r="AA53" t="str">
            <v>N/A</v>
          </cell>
          <cell r="AB53">
            <v>40908</v>
          </cell>
          <cell r="AC53">
            <v>39082</v>
          </cell>
          <cell r="CF53" t="str">
            <v>Power Index Plus</v>
          </cell>
          <cell r="CG53" t="str">
            <v>1-Year PTP with Cap, MSCI</v>
          </cell>
          <cell r="CH53">
            <v>0.1</v>
          </cell>
          <cell r="CI53" t="str">
            <v>1-Year PTP with Cap, MSCI</v>
          </cell>
          <cell r="CJ53">
            <v>0.1</v>
          </cell>
          <cell r="CK53" t="str">
            <v>1-Year PTP with Cap, MSCI</v>
          </cell>
          <cell r="CL53">
            <v>0.25</v>
          </cell>
          <cell r="CM53" t="str">
            <v>1-Year PTP with Cap, MSCI</v>
          </cell>
          <cell r="CN53">
            <v>0.2</v>
          </cell>
          <cell r="CO53" t="str">
            <v>1-Year PTP with Cap, MSCI</v>
          </cell>
          <cell r="CP53">
            <v>0</v>
          </cell>
        </row>
        <row r="54">
          <cell r="C54" t="str">
            <v>PIMGOPT</v>
          </cell>
          <cell r="G54">
            <v>0.1</v>
          </cell>
          <cell r="O54" t="str">
            <v>1-Year PTP with Spread</v>
          </cell>
          <cell r="P54" t="str">
            <v>1-Year PTP with Spread, NASDAQ-100</v>
          </cell>
          <cell r="Q54" t="str">
            <v>NDX</v>
          </cell>
          <cell r="R54" t="str">
            <v>1S</v>
          </cell>
          <cell r="S54" t="str">
            <v>NDX1S</v>
          </cell>
          <cell r="T54" t="str">
            <v>N/A</v>
          </cell>
          <cell r="U54" t="str">
            <v>N/A</v>
          </cell>
          <cell r="V54" t="str">
            <v>N/A</v>
          </cell>
          <cell r="W54" t="str">
            <v>N/A</v>
          </cell>
          <cell r="X54" t="str">
            <v>N/A</v>
          </cell>
          <cell r="Y54" t="str">
            <v>N/A</v>
          </cell>
          <cell r="Z54" t="str">
            <v>N/A</v>
          </cell>
          <cell r="AA54" t="str">
            <v>N/A</v>
          </cell>
          <cell r="AB54">
            <v>40908</v>
          </cell>
          <cell r="AC54">
            <v>39082</v>
          </cell>
          <cell r="CF54" t="str">
            <v>Power Index Plus</v>
          </cell>
          <cell r="CG54" t="str">
            <v>1-Year PTP with Cap, PIMCO Global Optima</v>
          </cell>
          <cell r="CH54">
            <v>0.05</v>
          </cell>
          <cell r="CI54" t="str">
            <v>1-Year PTP with Cap, PIMCO Global Optima</v>
          </cell>
          <cell r="CJ54">
            <v>0.1</v>
          </cell>
          <cell r="CK54" t="str">
            <v>1-Year PTP with Cap, PIMCO Global Optima</v>
          </cell>
          <cell r="CL54">
            <v>0</v>
          </cell>
          <cell r="CM54" t="str">
            <v>1-Year PTP with Cap, PIMCO Global Optima</v>
          </cell>
          <cell r="CN54">
            <v>0.05</v>
          </cell>
          <cell r="CO54" t="str">
            <v>1-Year PTP with Cap, PIMCO Global Optima</v>
          </cell>
          <cell r="CP54">
            <v>0.1</v>
          </cell>
        </row>
        <row r="55">
          <cell r="C55" t="str">
            <v>IINEWEC</v>
          </cell>
          <cell r="G55">
            <v>0</v>
          </cell>
          <cell r="O55" t="str">
            <v>1-Year PTP with ParRate &amp; Cap</v>
          </cell>
          <cell r="P55" t="str">
            <v>1-Year PTP with ParRate &amp; Cap, NASDAQ-100</v>
          </cell>
          <cell r="Q55" t="str">
            <v>NDX</v>
          </cell>
          <cell r="R55" t="str">
            <v>1PRC</v>
          </cell>
          <cell r="S55" t="str">
            <v>NDX1PRC</v>
          </cell>
          <cell r="T55" t="str">
            <v>N/A</v>
          </cell>
          <cell r="U55" t="str">
            <v>N/A</v>
          </cell>
          <cell r="V55" t="str">
            <v>N/A</v>
          </cell>
          <cell r="W55" t="str">
            <v>N/A</v>
          </cell>
          <cell r="X55" t="str">
            <v>N/A</v>
          </cell>
          <cell r="Y55" t="str">
            <v>N/A</v>
          </cell>
          <cell r="Z55" t="str">
            <v>N/A</v>
          </cell>
          <cell r="AA55" t="str">
            <v>N/A</v>
          </cell>
          <cell r="AB55">
            <v>40908</v>
          </cell>
          <cell r="AC55">
            <v>39082</v>
          </cell>
          <cell r="CF55" t="str">
            <v>Power Index Plus</v>
          </cell>
          <cell r="CG55" t="str">
            <v>1-Year PTP with ParRate, MLSB</v>
          </cell>
          <cell r="CH55">
            <v>0.05</v>
          </cell>
          <cell r="CI55" t="str">
            <v>1-Year PTP with ParRate, MLSB</v>
          </cell>
          <cell r="CJ55">
            <v>0.1</v>
          </cell>
          <cell r="CK55" t="str">
            <v>1-Year PTP with ParRate, MLSB</v>
          </cell>
          <cell r="CL55">
            <v>0</v>
          </cell>
          <cell r="CM55" t="str">
            <v>1-Year PTP with ParRate, MLSB</v>
          </cell>
          <cell r="CN55">
            <v>0.05</v>
          </cell>
          <cell r="CO55" t="str">
            <v>1-Year PTP with ParRate, MLSB</v>
          </cell>
          <cell r="CP55">
            <v>0.4</v>
          </cell>
        </row>
        <row r="56">
          <cell r="C56" t="str">
            <v>SPXVC</v>
          </cell>
          <cell r="G56">
            <v>0</v>
          </cell>
          <cell r="O56" t="str">
            <v>1-Year PTP with ParRate &amp; Spread</v>
          </cell>
          <cell r="P56" t="str">
            <v>1-Year PTP with ParRate &amp; Spread, NASDAQ-100</v>
          </cell>
          <cell r="Q56" t="str">
            <v>NDX</v>
          </cell>
          <cell r="R56" t="str">
            <v>1PRS</v>
          </cell>
          <cell r="S56" t="str">
            <v>NDX1PRS</v>
          </cell>
          <cell r="T56" t="str">
            <v>N/A</v>
          </cell>
          <cell r="U56" t="str">
            <v>N/A</v>
          </cell>
          <cell r="V56" t="str">
            <v>N/A</v>
          </cell>
          <cell r="W56" t="str">
            <v>N/A</v>
          </cell>
          <cell r="X56" t="str">
            <v>N/A</v>
          </cell>
          <cell r="Y56" t="str">
            <v>N/A</v>
          </cell>
          <cell r="Z56" t="str">
            <v>N/A</v>
          </cell>
          <cell r="AA56" t="str">
            <v>N/A</v>
          </cell>
          <cell r="AB56">
            <v>40908</v>
          </cell>
          <cell r="AC56">
            <v>39082</v>
          </cell>
        </row>
        <row r="57">
          <cell r="C57" t="str">
            <v>JPMAS</v>
          </cell>
          <cell r="G57">
            <v>0</v>
          </cell>
          <cell r="O57" t="str">
            <v>1-Year PTP with EPRS Tier 1</v>
          </cell>
          <cell r="P57" t="str">
            <v>1-Year PTP with EPRS Tier 1, NASDAQ-100</v>
          </cell>
          <cell r="Q57" t="str">
            <v>NDX</v>
          </cell>
          <cell r="R57" t="str">
            <v>1EPRST1</v>
          </cell>
          <cell r="S57" t="str">
            <v>NDX1EPRST1</v>
          </cell>
          <cell r="T57" t="str">
            <v>N/A</v>
          </cell>
          <cell r="U57" t="str">
            <v>N/A</v>
          </cell>
          <cell r="V57" t="str">
            <v>N/A</v>
          </cell>
          <cell r="W57" t="str">
            <v>N/A</v>
          </cell>
          <cell r="X57" t="str">
            <v>N/A</v>
          </cell>
          <cell r="Y57" t="str">
            <v>N/A</v>
          </cell>
          <cell r="Z57" t="str">
            <v>N/A</v>
          </cell>
          <cell r="AA57" t="str">
            <v>N/A</v>
          </cell>
          <cell r="AB57">
            <v>40908</v>
          </cell>
          <cell r="AC57">
            <v>39082</v>
          </cell>
        </row>
        <row r="58">
          <cell r="C58" t="str">
            <v>JPMAQ</v>
          </cell>
          <cell r="G58">
            <v>0</v>
          </cell>
          <cell r="O58" t="str">
            <v>1-Year PTP with EPRS Tier 2</v>
          </cell>
          <cell r="P58" t="str">
            <v>1-Year PTP with EPRS Tier 2, NASDAQ-100</v>
          </cell>
          <cell r="Q58" t="str">
            <v>NDX</v>
          </cell>
          <cell r="R58" t="str">
            <v>1EPRST2</v>
          </cell>
          <cell r="S58" t="str">
            <v>NDX1EPRST2</v>
          </cell>
          <cell r="T58" t="str">
            <v>N/A</v>
          </cell>
          <cell r="U58" t="str">
            <v>N/A</v>
          </cell>
          <cell r="V58" t="str">
            <v>N/A</v>
          </cell>
          <cell r="W58" t="str">
            <v>N/A</v>
          </cell>
          <cell r="X58" t="str">
            <v>N/A</v>
          </cell>
          <cell r="Y58" t="str">
            <v>N/A</v>
          </cell>
          <cell r="Z58" t="str">
            <v>N/A</v>
          </cell>
          <cell r="AA58" t="str">
            <v>N/A</v>
          </cell>
          <cell r="AB58">
            <v>40908</v>
          </cell>
          <cell r="AC58">
            <v>39082</v>
          </cell>
        </row>
        <row r="59">
          <cell r="C59" t="str">
            <v>JPMAM</v>
          </cell>
          <cell r="G59">
            <v>0</v>
          </cell>
          <cell r="O59" t="str">
            <v>2-Year PTP with Cap</v>
          </cell>
          <cell r="P59" t="str">
            <v>2-Year PTP with Cap, NASDAQ-100</v>
          </cell>
          <cell r="Q59" t="str">
            <v>NDX</v>
          </cell>
          <cell r="R59" t="str">
            <v>2C</v>
          </cell>
          <cell r="S59" t="str">
            <v>NDX2C</v>
          </cell>
          <cell r="T59" t="str">
            <v>N/A</v>
          </cell>
          <cell r="U59" t="str">
            <v>N/A</v>
          </cell>
          <cell r="V59" t="str">
            <v>N/A</v>
          </cell>
          <cell r="W59" t="str">
            <v>N/A</v>
          </cell>
          <cell r="X59" t="str">
            <v>N/A</v>
          </cell>
          <cell r="Y59" t="str">
            <v>N/A</v>
          </cell>
          <cell r="Z59" t="str">
            <v>N/A</v>
          </cell>
          <cell r="AA59" t="str">
            <v>N/A</v>
          </cell>
          <cell r="AB59">
            <v>40908</v>
          </cell>
          <cell r="AC59">
            <v>39082</v>
          </cell>
        </row>
        <row r="60">
          <cell r="O60" t="str">
            <v>2-Year PTP with ParRate</v>
          </cell>
          <cell r="P60" t="str">
            <v>2-Year PTP with ParRate, NASDAQ-100</v>
          </cell>
          <cell r="Q60" t="str">
            <v>NDX</v>
          </cell>
          <cell r="R60" t="str">
            <v>2PR</v>
          </cell>
          <cell r="S60" t="str">
            <v>NDX2PR</v>
          </cell>
          <cell r="T60" t="str">
            <v>N/A</v>
          </cell>
          <cell r="U60" t="str">
            <v>N/A</v>
          </cell>
          <cell r="V60" t="str">
            <v>N/A</v>
          </cell>
          <cell r="W60" t="str">
            <v>N/A</v>
          </cell>
          <cell r="X60" t="str">
            <v>N/A</v>
          </cell>
          <cell r="Y60" t="str">
            <v>N/A</v>
          </cell>
          <cell r="Z60" t="str">
            <v>N/A</v>
          </cell>
          <cell r="AA60" t="str">
            <v>N/A</v>
          </cell>
          <cell r="AB60">
            <v>40908</v>
          </cell>
          <cell r="AC60">
            <v>39082</v>
          </cell>
        </row>
        <row r="61">
          <cell r="O61" t="str">
            <v>2-Year PTP with Spread</v>
          </cell>
          <cell r="P61" t="str">
            <v>2-Year PTP with Spread, NASDAQ-100</v>
          </cell>
          <cell r="Q61" t="str">
            <v>NDX</v>
          </cell>
          <cell r="R61" t="str">
            <v>2S</v>
          </cell>
          <cell r="S61" t="str">
            <v>NDX2S</v>
          </cell>
          <cell r="T61" t="str">
            <v>N/A</v>
          </cell>
          <cell r="U61" t="str">
            <v>N/A</v>
          </cell>
          <cell r="V61" t="str">
            <v>N/A</v>
          </cell>
          <cell r="W61" t="str">
            <v>N/A</v>
          </cell>
          <cell r="X61" t="str">
            <v>N/A</v>
          </cell>
          <cell r="Y61" t="str">
            <v>N/A</v>
          </cell>
          <cell r="Z61" t="str">
            <v>N/A</v>
          </cell>
          <cell r="AA61" t="str">
            <v>N/A</v>
          </cell>
          <cell r="AB61">
            <v>40908</v>
          </cell>
          <cell r="AC61">
            <v>39082</v>
          </cell>
        </row>
        <row r="62">
          <cell r="O62" t="str">
            <v>2-Year PTP with ParRate &amp; Spread</v>
          </cell>
          <cell r="P62" t="str">
            <v>2-Year PTP with ParRate &amp; Spread, NASDAQ-100</v>
          </cell>
          <cell r="Q62" t="str">
            <v>NDX</v>
          </cell>
          <cell r="R62" t="str">
            <v>2PRS</v>
          </cell>
          <cell r="S62" t="str">
            <v>NDX2PRS</v>
          </cell>
          <cell r="T62" t="str">
            <v>N/A</v>
          </cell>
          <cell r="U62" t="str">
            <v>N/A</v>
          </cell>
          <cell r="V62" t="str">
            <v>N/A</v>
          </cell>
          <cell r="W62" t="str">
            <v>N/A</v>
          </cell>
          <cell r="X62" t="str">
            <v>N/A</v>
          </cell>
          <cell r="Y62" t="str">
            <v>N/A</v>
          </cell>
          <cell r="Z62" t="str">
            <v>N/A</v>
          </cell>
          <cell r="AA62" t="str">
            <v>N/A</v>
          </cell>
          <cell r="AB62">
            <v>40908</v>
          </cell>
          <cell r="AC62">
            <v>39082</v>
          </cell>
        </row>
        <row r="63">
          <cell r="O63" t="str">
            <v>2-Year PTP with EPRS Tier 1</v>
          </cell>
          <cell r="P63" t="str">
            <v>2-Year PTP with EPRS Tier 1, NASDAQ-100</v>
          </cell>
          <cell r="Q63" t="str">
            <v>NDX</v>
          </cell>
          <cell r="R63" t="str">
            <v>2EPRST1</v>
          </cell>
          <cell r="S63" t="str">
            <v>NDX2EPRST1</v>
          </cell>
          <cell r="T63" t="str">
            <v>N/A</v>
          </cell>
          <cell r="U63" t="str">
            <v>N/A</v>
          </cell>
          <cell r="V63" t="str">
            <v>N/A</v>
          </cell>
          <cell r="W63" t="str">
            <v>N/A</v>
          </cell>
          <cell r="X63" t="str">
            <v>N/A</v>
          </cell>
          <cell r="Y63" t="str">
            <v>N/A</v>
          </cell>
          <cell r="Z63" t="str">
            <v>N/A</v>
          </cell>
          <cell r="AA63" t="str">
            <v>N/A</v>
          </cell>
          <cell r="AB63">
            <v>40908</v>
          </cell>
          <cell r="AC63">
            <v>39082</v>
          </cell>
        </row>
        <row r="64">
          <cell r="O64" t="str">
            <v>2-Year PTP with EPRS Tier 2</v>
          </cell>
          <cell r="P64" t="str">
            <v>2-Year PTP with EPRS Tier 2, NASDAQ-100</v>
          </cell>
          <cell r="Q64" t="str">
            <v>NDX</v>
          </cell>
          <cell r="R64" t="str">
            <v>2EPRST2</v>
          </cell>
          <cell r="S64" t="str">
            <v>NDX2EPRST2</v>
          </cell>
          <cell r="T64" t="str">
            <v>N/A</v>
          </cell>
          <cell r="U64" t="str">
            <v>N/A</v>
          </cell>
          <cell r="V64" t="str">
            <v>N/A</v>
          </cell>
          <cell r="W64" t="str">
            <v>N/A</v>
          </cell>
          <cell r="X64" t="str">
            <v>N/A</v>
          </cell>
          <cell r="Y64" t="str">
            <v>N/A</v>
          </cell>
          <cell r="Z64" t="str">
            <v>N/A</v>
          </cell>
          <cell r="AA64" t="str">
            <v>N/A</v>
          </cell>
          <cell r="AB64">
            <v>40908</v>
          </cell>
          <cell r="AC64">
            <v>39082</v>
          </cell>
        </row>
        <row r="65">
          <cell r="O65" t="str">
            <v>5-Year PTP with Cap</v>
          </cell>
          <cell r="P65" t="str">
            <v>5-Year PTP with Cap, NASDAQ-100</v>
          </cell>
          <cell r="Q65" t="str">
            <v>NDX</v>
          </cell>
          <cell r="R65" t="str">
            <v>5C</v>
          </cell>
          <cell r="S65" t="str">
            <v>NDX5C</v>
          </cell>
          <cell r="T65" t="str">
            <v>N/A</v>
          </cell>
          <cell r="U65" t="str">
            <v>N/A</v>
          </cell>
          <cell r="V65" t="str">
            <v>N/A</v>
          </cell>
          <cell r="W65" t="str">
            <v>N/A</v>
          </cell>
          <cell r="X65" t="str">
            <v>N/A</v>
          </cell>
          <cell r="Y65" t="str">
            <v>N/A</v>
          </cell>
          <cell r="Z65" t="str">
            <v>N/A</v>
          </cell>
          <cell r="AA65" t="str">
            <v>N/A</v>
          </cell>
          <cell r="AB65">
            <v>40908</v>
          </cell>
          <cell r="AC65">
            <v>39082</v>
          </cell>
        </row>
        <row r="66">
          <cell r="N66" t="str">
            <v>Alliance Bernstein</v>
          </cell>
          <cell r="O66" t="str">
            <v>1-Year PTP with Cap</v>
          </cell>
          <cell r="P66" t="str">
            <v>1-Year PTP with Cap, Alliance Bernstein</v>
          </cell>
          <cell r="Q66" t="str">
            <v>ABALLMKT</v>
          </cell>
          <cell r="R66" t="str">
            <v>1C</v>
          </cell>
          <cell r="S66" t="str">
            <v>ABALLMKT1C</v>
          </cell>
          <cell r="T66" t="str">
            <v>N/A</v>
          </cell>
          <cell r="U66" t="str">
            <v>N/A</v>
          </cell>
          <cell r="V66" t="str">
            <v>N/A</v>
          </cell>
          <cell r="W66" t="str">
            <v>N/A</v>
          </cell>
          <cell r="X66" t="str">
            <v>N/A</v>
          </cell>
          <cell r="Y66" t="str">
            <v>N/A</v>
          </cell>
          <cell r="Z66" t="str">
            <v>N/A</v>
          </cell>
          <cell r="AA66" t="str">
            <v>N/A</v>
          </cell>
          <cell r="AB66">
            <v>39447</v>
          </cell>
          <cell r="AC66">
            <v>42004</v>
          </cell>
        </row>
        <row r="67">
          <cell r="O67" t="str">
            <v>1-Year PTP with Secure Cap</v>
          </cell>
          <cell r="P67" t="str">
            <v>1-Year PTP with Secure Cap, Alliance Bernstein</v>
          </cell>
          <cell r="Q67" t="str">
            <v>ABALLMKT</v>
          </cell>
          <cell r="R67" t="str">
            <v>1SC</v>
          </cell>
          <cell r="S67" t="str">
            <v>ABALLMKT1SC</v>
          </cell>
          <cell r="T67" t="str">
            <v>N/A</v>
          </cell>
          <cell r="U67" t="str">
            <v>N/A</v>
          </cell>
          <cell r="V67" t="str">
            <v>N/A</v>
          </cell>
          <cell r="W67" t="str">
            <v>N/A</v>
          </cell>
          <cell r="X67" t="str">
            <v>N/A</v>
          </cell>
          <cell r="Y67" t="str">
            <v>N/A</v>
          </cell>
          <cell r="Z67" t="str">
            <v>N/A</v>
          </cell>
          <cell r="AA67" t="str">
            <v>N/A</v>
          </cell>
          <cell r="AB67">
            <v>39447</v>
          </cell>
          <cell r="AC67">
            <v>42004</v>
          </cell>
        </row>
        <row r="68">
          <cell r="C68">
            <v>1</v>
          </cell>
          <cell r="D68" t="str">
            <v>S&amp;P 500</v>
          </cell>
          <cell r="O68" t="str">
            <v>1-Year PTP with ParRate</v>
          </cell>
          <cell r="P68" t="str">
            <v>1-Year PTP with ParRate, Alliance Bernstein</v>
          </cell>
          <cell r="Q68" t="str">
            <v>ABALLMKT</v>
          </cell>
          <cell r="R68" t="str">
            <v>1PR</v>
          </cell>
          <cell r="S68" t="str">
            <v>ABALLMKT1PR</v>
          </cell>
          <cell r="T68" t="str">
            <v>N/A</v>
          </cell>
          <cell r="U68" t="str">
            <v>N/A</v>
          </cell>
          <cell r="V68" t="str">
            <v>N/A</v>
          </cell>
          <cell r="W68" t="str">
            <v>N/A</v>
          </cell>
          <cell r="X68" t="str">
            <v>N/A</v>
          </cell>
          <cell r="Y68" t="str">
            <v>N/A</v>
          </cell>
          <cell r="Z68" t="str">
            <v>N/A</v>
          </cell>
          <cell r="AA68" t="str">
            <v>N/A</v>
          </cell>
          <cell r="AB68">
            <v>39447</v>
          </cell>
          <cell r="AC68">
            <v>42004</v>
          </cell>
        </row>
        <row r="69">
          <cell r="C69">
            <v>1</v>
          </cell>
          <cell r="D69" t="str">
            <v>Not Allocated</v>
          </cell>
          <cell r="O69" t="str">
            <v>1-Year PTP with Secure ParRate</v>
          </cell>
          <cell r="P69" t="str">
            <v>1-Year PTP with Secure ParRate, Alliance Bernstein</v>
          </cell>
          <cell r="Q69" t="str">
            <v>ABALLMKT</v>
          </cell>
          <cell r="R69" t="str">
            <v>1SPR</v>
          </cell>
          <cell r="S69" t="str">
            <v>ABALLMKT1SPR</v>
          </cell>
          <cell r="T69" t="str">
            <v>N/A</v>
          </cell>
          <cell r="U69" t="str">
            <v>N/A</v>
          </cell>
          <cell r="V69" t="str">
            <v>N/A</v>
          </cell>
          <cell r="W69" t="str">
            <v>N/A</v>
          </cell>
          <cell r="X69" t="str">
            <v>N/A</v>
          </cell>
          <cell r="Y69" t="str">
            <v>N/A</v>
          </cell>
          <cell r="Z69" t="str">
            <v>N/A</v>
          </cell>
          <cell r="AA69" t="str">
            <v>N/A</v>
          </cell>
          <cell r="AB69">
            <v>39447</v>
          </cell>
          <cell r="AC69">
            <v>42004</v>
          </cell>
        </row>
        <row r="70">
          <cell r="C70">
            <v>1</v>
          </cell>
          <cell r="D70" t="str">
            <v>Not Allocated</v>
          </cell>
          <cell r="O70" t="str">
            <v>1-Year Performance-Triggered Account</v>
          </cell>
          <cell r="P70" t="str">
            <v>1-Year Performance-Triggered Account, Alliance Bernstein</v>
          </cell>
          <cell r="Q70" t="str">
            <v>ABALLMKT</v>
          </cell>
          <cell r="R70" t="str">
            <v>1PT</v>
          </cell>
          <cell r="S70" t="str">
            <v>ABALLMKT1PT</v>
          </cell>
          <cell r="T70" t="str">
            <v>N/A</v>
          </cell>
          <cell r="U70" t="str">
            <v>N/A</v>
          </cell>
          <cell r="V70" t="str">
            <v>N/A</v>
          </cell>
          <cell r="W70" t="str">
            <v>N/A</v>
          </cell>
          <cell r="X70" t="str">
            <v>N/A</v>
          </cell>
          <cell r="Y70" t="str">
            <v>N/A</v>
          </cell>
          <cell r="Z70" t="str">
            <v>N/A</v>
          </cell>
          <cell r="AA70" t="str">
            <v>N/A</v>
          </cell>
          <cell r="AB70">
            <v>39447</v>
          </cell>
          <cell r="AC70">
            <v>42004</v>
          </cell>
        </row>
        <row r="71">
          <cell r="C71">
            <v>1</v>
          </cell>
          <cell r="D71" t="str">
            <v>Not Allocated</v>
          </cell>
          <cell r="O71" t="str">
            <v>1-Year PTP with Spread</v>
          </cell>
          <cell r="P71" t="str">
            <v>1-Year PTP with Spread, Alliance Bernstein</v>
          </cell>
          <cell r="Q71" t="str">
            <v>ABALLMKT</v>
          </cell>
          <cell r="R71" t="str">
            <v>1S</v>
          </cell>
          <cell r="S71" t="str">
            <v>ABALLMKT1S</v>
          </cell>
          <cell r="T71" t="str">
            <v>N/A</v>
          </cell>
          <cell r="U71" t="str">
            <v>N/A</v>
          </cell>
          <cell r="V71" t="str">
            <v>N/A</v>
          </cell>
          <cell r="W71" t="str">
            <v>N/A</v>
          </cell>
          <cell r="X71" t="str">
            <v>N/A</v>
          </cell>
          <cell r="Y71" t="str">
            <v>N/A</v>
          </cell>
          <cell r="Z71" t="str">
            <v>N/A</v>
          </cell>
          <cell r="AA71" t="str">
            <v>N/A</v>
          </cell>
          <cell r="AB71">
            <v>39447</v>
          </cell>
          <cell r="AC71">
            <v>42004</v>
          </cell>
        </row>
        <row r="72">
          <cell r="C72">
            <v>1</v>
          </cell>
          <cell r="D72" t="str">
            <v>Not Allocated</v>
          </cell>
          <cell r="O72" t="str">
            <v>1-Year PTP with ParRate &amp; Cap</v>
          </cell>
          <cell r="P72" t="str">
            <v>1-Year PTP with ParRate &amp; Cap, Alliance Bernstein</v>
          </cell>
          <cell r="Q72" t="str">
            <v>ABALLMKT</v>
          </cell>
          <cell r="R72" t="str">
            <v>1PRC</v>
          </cell>
          <cell r="S72" t="str">
            <v>ABALLMKT1PRC</v>
          </cell>
          <cell r="T72" t="str">
            <v>N/A</v>
          </cell>
          <cell r="U72" t="str">
            <v>N/A</v>
          </cell>
          <cell r="V72" t="str">
            <v>N/A</v>
          </cell>
          <cell r="W72" t="str">
            <v>N/A</v>
          </cell>
          <cell r="X72" t="str">
            <v>N/A</v>
          </cell>
          <cell r="Y72" t="str">
            <v>N/A</v>
          </cell>
          <cell r="Z72" t="str">
            <v>N/A</v>
          </cell>
          <cell r="AA72" t="str">
            <v>N/A</v>
          </cell>
          <cell r="AB72">
            <v>39447</v>
          </cell>
          <cell r="AC72">
            <v>42004</v>
          </cell>
        </row>
        <row r="73">
          <cell r="C73">
            <v>2</v>
          </cell>
          <cell r="D73" t="str">
            <v>PIMCO Global Optima</v>
          </cell>
          <cell r="O73" t="str">
            <v>1-Year PTP with ParRate &amp; Spread</v>
          </cell>
          <cell r="P73" t="str">
            <v>1-Year PTP with ParRate &amp; Spread, Alliance Bernstein</v>
          </cell>
          <cell r="Q73" t="str">
            <v>ABALLMKT</v>
          </cell>
          <cell r="R73" t="str">
            <v>1PRS</v>
          </cell>
          <cell r="S73" t="str">
            <v>ABALLMKT1PRS</v>
          </cell>
          <cell r="T73" t="str">
            <v>N/A</v>
          </cell>
          <cell r="U73" t="str">
            <v>N/A</v>
          </cell>
          <cell r="V73" t="str">
            <v>N/A</v>
          </cell>
          <cell r="W73" t="str">
            <v>N/A</v>
          </cell>
          <cell r="X73" t="str">
            <v>N/A</v>
          </cell>
          <cell r="Y73" t="str">
            <v>N/A</v>
          </cell>
          <cell r="Z73" t="str">
            <v>N/A</v>
          </cell>
          <cell r="AA73" t="str">
            <v>N/A</v>
          </cell>
          <cell r="AB73">
            <v>39447</v>
          </cell>
          <cell r="AC73">
            <v>42004</v>
          </cell>
        </row>
        <row r="74">
          <cell r="C74">
            <v>3</v>
          </cell>
          <cell r="D74" t="str">
            <v>MLSB</v>
          </cell>
          <cell r="O74" t="str">
            <v>1-Year PTP with EPRS Tier 1</v>
          </cell>
          <cell r="P74" t="str">
            <v>1-Year PTP with EPRS Tier 1, Alliance Bernstein</v>
          </cell>
          <cell r="Q74" t="str">
            <v>ABALLMKT</v>
          </cell>
          <cell r="R74" t="str">
            <v>1EPRST1</v>
          </cell>
          <cell r="S74" t="str">
            <v>ABALLMKT1EPRST1</v>
          </cell>
          <cell r="T74" t="str">
            <v>N/A</v>
          </cell>
          <cell r="U74" t="str">
            <v>N/A</v>
          </cell>
          <cell r="V74" t="str">
            <v>N/A</v>
          </cell>
          <cell r="W74" t="str">
            <v>N/A</v>
          </cell>
          <cell r="X74" t="str">
            <v>N/A</v>
          </cell>
          <cell r="Y74" t="str">
            <v>N/A</v>
          </cell>
          <cell r="Z74" t="str">
            <v>N/A</v>
          </cell>
          <cell r="AA74" t="str">
            <v>N/A</v>
          </cell>
          <cell r="AB74">
            <v>39447</v>
          </cell>
          <cell r="AC74">
            <v>42004</v>
          </cell>
        </row>
        <row r="75">
          <cell r="C75">
            <v>3</v>
          </cell>
          <cell r="D75" t="str">
            <v>Not Allocated</v>
          </cell>
          <cell r="O75" t="str">
            <v>1-Year PTP with EPRS Tier 2</v>
          </cell>
          <cell r="P75" t="str">
            <v>1-Year PTP with EPRS Tier 2, Alliance Bernstein</v>
          </cell>
          <cell r="Q75" t="str">
            <v>ABALLMKT</v>
          </cell>
          <cell r="R75" t="str">
            <v>1EPRST2</v>
          </cell>
          <cell r="S75" t="str">
            <v>ABALLMKT1EPRST2</v>
          </cell>
          <cell r="T75" t="str">
            <v>N/A</v>
          </cell>
          <cell r="U75" t="str">
            <v>N/A</v>
          </cell>
          <cell r="V75" t="str">
            <v>N/A</v>
          </cell>
          <cell r="W75" t="str">
            <v>N/A</v>
          </cell>
          <cell r="X75" t="str">
            <v>N/A</v>
          </cell>
          <cell r="Y75" t="str">
            <v>N/A</v>
          </cell>
          <cell r="Z75" t="str">
            <v>N/A</v>
          </cell>
          <cell r="AA75" t="str">
            <v>N/A</v>
          </cell>
          <cell r="AB75">
            <v>39447</v>
          </cell>
          <cell r="AC75">
            <v>42004</v>
          </cell>
        </row>
        <row r="76">
          <cell r="C76">
            <v>3</v>
          </cell>
          <cell r="D76" t="str">
            <v>Not Allocated</v>
          </cell>
          <cell r="O76" t="str">
            <v>2-Year PTP with Cap</v>
          </cell>
          <cell r="P76" t="str">
            <v>2-Year PTP with Cap, Alliance Bernstein</v>
          </cell>
          <cell r="Q76" t="str">
            <v>ABALLMKT</v>
          </cell>
          <cell r="R76" t="str">
            <v>2C</v>
          </cell>
          <cell r="S76" t="str">
            <v>ABALLMKT2C</v>
          </cell>
          <cell r="T76" t="str">
            <v>N/A</v>
          </cell>
          <cell r="U76" t="str">
            <v>N/A</v>
          </cell>
          <cell r="V76" t="str">
            <v>N/A</v>
          </cell>
          <cell r="W76" t="str">
            <v>N/A</v>
          </cell>
          <cell r="X76" t="str">
            <v>N/A</v>
          </cell>
          <cell r="Y76" t="str">
            <v>N/A</v>
          </cell>
          <cell r="Z76" t="str">
            <v>N/A</v>
          </cell>
          <cell r="AA76" t="str">
            <v>N/A</v>
          </cell>
          <cell r="AB76">
            <v>39447</v>
          </cell>
          <cell r="AC76">
            <v>42004</v>
          </cell>
        </row>
        <row r="77">
          <cell r="C77">
            <v>3</v>
          </cell>
          <cell r="D77" t="str">
            <v>Not Allocated</v>
          </cell>
          <cell r="O77" t="str">
            <v>2-Year PTP with ParRate</v>
          </cell>
          <cell r="P77" t="str">
            <v>2-Year PTP with ParRate, Alliance Bernstein</v>
          </cell>
          <cell r="Q77" t="str">
            <v>ABALLMKT</v>
          </cell>
          <cell r="R77" t="str">
            <v>2PR</v>
          </cell>
          <cell r="S77" t="str">
            <v>ABALLMKT2PR</v>
          </cell>
          <cell r="T77" t="str">
            <v>N/A</v>
          </cell>
          <cell r="U77" t="str">
            <v>N/A</v>
          </cell>
          <cell r="V77" t="str">
            <v>N/A</v>
          </cell>
          <cell r="W77" t="str">
            <v>N/A</v>
          </cell>
          <cell r="X77" t="str">
            <v>N/A</v>
          </cell>
          <cell r="Y77" t="str">
            <v>N/A</v>
          </cell>
          <cell r="Z77" t="str">
            <v>N/A</v>
          </cell>
          <cell r="AA77" t="str">
            <v>N/A</v>
          </cell>
          <cell r="AB77">
            <v>39447</v>
          </cell>
          <cell r="AC77">
            <v>42004</v>
          </cell>
        </row>
        <row r="78">
          <cell r="C78">
            <v>3</v>
          </cell>
          <cell r="D78" t="str">
            <v>Not Allocated</v>
          </cell>
          <cell r="O78" t="str">
            <v>2-Year PTP with Spread</v>
          </cell>
          <cell r="P78" t="str">
            <v>2-Year PTP with Spread, Alliance Bernstein</v>
          </cell>
          <cell r="Q78" t="str">
            <v>ABALLMKT</v>
          </cell>
          <cell r="R78" t="str">
            <v>2S</v>
          </cell>
          <cell r="S78" t="str">
            <v>ABALLMKT2S</v>
          </cell>
          <cell r="T78" t="str">
            <v>N/A</v>
          </cell>
          <cell r="U78" t="str">
            <v>N/A</v>
          </cell>
          <cell r="V78" t="str">
            <v>N/A</v>
          </cell>
          <cell r="W78" t="str">
            <v>N/A</v>
          </cell>
          <cell r="X78" t="str">
            <v>N/A</v>
          </cell>
          <cell r="Y78" t="str">
            <v>N/A</v>
          </cell>
          <cell r="Z78" t="str">
            <v>N/A</v>
          </cell>
          <cell r="AA78" t="str">
            <v>N/A</v>
          </cell>
          <cell r="AB78">
            <v>39447</v>
          </cell>
          <cell r="AC78">
            <v>42004</v>
          </cell>
        </row>
        <row r="79">
          <cell r="C79">
            <v>3</v>
          </cell>
          <cell r="D79" t="str">
            <v>Not Allocated</v>
          </cell>
          <cell r="O79" t="str">
            <v>2-Year PTP with ParRate &amp; Spread</v>
          </cell>
          <cell r="P79" t="str">
            <v>2-Year PTP with ParRate &amp; Spread, Alliance Bernstein</v>
          </cell>
          <cell r="Q79" t="str">
            <v>ABALLMKT</v>
          </cell>
          <cell r="R79" t="str">
            <v>2PRS</v>
          </cell>
          <cell r="S79" t="str">
            <v>ABALLMKT2PRS</v>
          </cell>
          <cell r="T79" t="str">
            <v>N/A</v>
          </cell>
          <cell r="U79" t="str">
            <v>N/A</v>
          </cell>
          <cell r="V79" t="str">
            <v>N/A</v>
          </cell>
          <cell r="W79" t="str">
            <v>N/A</v>
          </cell>
          <cell r="X79" t="str">
            <v>N/A</v>
          </cell>
          <cell r="Y79" t="str">
            <v>N/A</v>
          </cell>
          <cell r="Z79" t="str">
            <v>N/A</v>
          </cell>
          <cell r="AA79" t="str">
            <v>N/A</v>
          </cell>
          <cell r="AB79">
            <v>39447</v>
          </cell>
          <cell r="AC79">
            <v>42004</v>
          </cell>
        </row>
        <row r="80">
          <cell r="C80">
            <v>3</v>
          </cell>
          <cell r="D80" t="str">
            <v>Not Allocated</v>
          </cell>
          <cell r="O80" t="str">
            <v>2-Year PTP with EPRS Tier 1</v>
          </cell>
          <cell r="P80" t="str">
            <v>2-Year PTP with EPRS Tier 1, Alliance Bernstein</v>
          </cell>
          <cell r="Q80" t="str">
            <v>ABALLMKT</v>
          </cell>
          <cell r="R80" t="str">
            <v>2EPRST1</v>
          </cell>
          <cell r="S80" t="str">
            <v>ABALLMKT2EPRST1</v>
          </cell>
          <cell r="T80" t="str">
            <v>N/A</v>
          </cell>
          <cell r="U80" t="str">
            <v>N/A</v>
          </cell>
          <cell r="V80" t="str">
            <v>N/A</v>
          </cell>
          <cell r="W80" t="str">
            <v>N/A</v>
          </cell>
          <cell r="X80" t="str">
            <v>N/A</v>
          </cell>
          <cell r="Y80" t="str">
            <v>N/A</v>
          </cell>
          <cell r="Z80" t="str">
            <v>N/A</v>
          </cell>
          <cell r="AA80" t="str">
            <v>N/A</v>
          </cell>
          <cell r="AB80">
            <v>39447</v>
          </cell>
          <cell r="AC80">
            <v>42004</v>
          </cell>
        </row>
        <row r="81">
          <cell r="C81">
            <v>3</v>
          </cell>
          <cell r="D81" t="str">
            <v>Not Allocated</v>
          </cell>
          <cell r="O81" t="str">
            <v>2-Year PTP with EPRS Tier 2</v>
          </cell>
          <cell r="P81" t="str">
            <v>2-Year PTP with EPRS Tier 2, Alliance Bernstein</v>
          </cell>
          <cell r="Q81" t="str">
            <v>ABALLMKT</v>
          </cell>
          <cell r="R81" t="str">
            <v>2EPRST2</v>
          </cell>
          <cell r="S81" t="str">
            <v>ABALLMKT2EPRST2</v>
          </cell>
          <cell r="T81" t="str">
            <v>N/A</v>
          </cell>
          <cell r="U81" t="str">
            <v>N/A</v>
          </cell>
          <cell r="V81" t="str">
            <v>N/A</v>
          </cell>
          <cell r="W81" t="str">
            <v>N/A</v>
          </cell>
          <cell r="X81" t="str">
            <v>N/A</v>
          </cell>
          <cell r="Y81" t="str">
            <v>N/A</v>
          </cell>
          <cell r="Z81" t="str">
            <v>N/A</v>
          </cell>
          <cell r="AA81" t="str">
            <v>N/A</v>
          </cell>
          <cell r="AB81">
            <v>39447</v>
          </cell>
          <cell r="AC81">
            <v>42004</v>
          </cell>
        </row>
        <row r="82">
          <cell r="C82">
            <v>3</v>
          </cell>
          <cell r="D82" t="str">
            <v>Not Allocated</v>
          </cell>
          <cell r="O82" t="str">
            <v>5-Year PTP with Cap</v>
          </cell>
          <cell r="P82" t="str">
            <v>5-Year PTP with Cap, Alliance Bernstein</v>
          </cell>
          <cell r="Q82" t="str">
            <v>ABALLMKT</v>
          </cell>
          <cell r="R82" t="str">
            <v>5C</v>
          </cell>
          <cell r="S82" t="str">
            <v>ABALLMKT5C</v>
          </cell>
          <cell r="T82" t="str">
            <v>N/A</v>
          </cell>
          <cell r="U82" t="str">
            <v>N/A</v>
          </cell>
          <cell r="V82" t="str">
            <v>N/A</v>
          </cell>
          <cell r="W82" t="str">
            <v>N/A</v>
          </cell>
          <cell r="X82" t="str">
            <v>N/A</v>
          </cell>
          <cell r="Y82" t="str">
            <v>N/A</v>
          </cell>
          <cell r="Z82" t="str">
            <v>N/A</v>
          </cell>
          <cell r="AA82" t="str">
            <v>N/A</v>
          </cell>
          <cell r="AB82">
            <v>39447</v>
          </cell>
          <cell r="AC82">
            <v>42004</v>
          </cell>
        </row>
        <row r="83">
          <cell r="C83">
            <v>3</v>
          </cell>
          <cell r="D83" t="str">
            <v>Not Allocated</v>
          </cell>
          <cell r="N83" t="str">
            <v>AQR</v>
          </cell>
          <cell r="O83" t="str">
            <v>1-Year PTP with Cap</v>
          </cell>
          <cell r="P83" t="str">
            <v>1-Year PTP with Cap, AQR</v>
          </cell>
          <cell r="Q83" t="str">
            <v>AQRDAI5</v>
          </cell>
          <cell r="R83" t="str">
            <v>1C</v>
          </cell>
          <cell r="S83" t="str">
            <v>AQRDAI51C</v>
          </cell>
          <cell r="T83" t="str">
            <v>N/A</v>
          </cell>
          <cell r="U83" t="str">
            <v>N/A</v>
          </cell>
          <cell r="V83" t="str">
            <v>N/A</v>
          </cell>
          <cell r="W83" t="str">
            <v>N/A</v>
          </cell>
          <cell r="X83" t="str">
            <v>N/A</v>
          </cell>
          <cell r="Y83" t="str">
            <v>N/A</v>
          </cell>
          <cell r="Z83" t="str">
            <v>N/A</v>
          </cell>
          <cell r="AA83" t="str">
            <v>N/A</v>
          </cell>
          <cell r="AB83">
            <v>40178</v>
          </cell>
          <cell r="AC83">
            <v>42004</v>
          </cell>
        </row>
        <row r="84">
          <cell r="C84">
            <v>3</v>
          </cell>
          <cell r="D84" t="str">
            <v>Not Allocated</v>
          </cell>
          <cell r="O84" t="str">
            <v>1-Year PTP with Secure Cap</v>
          </cell>
          <cell r="P84" t="str">
            <v>1-Year PTP with Secure Cap, AQR</v>
          </cell>
          <cell r="Q84" t="str">
            <v>AQRDAI5</v>
          </cell>
          <cell r="R84" t="str">
            <v>1SC</v>
          </cell>
          <cell r="S84" t="str">
            <v>AQRDAI51SC</v>
          </cell>
          <cell r="T84" t="str">
            <v>N/A</v>
          </cell>
          <cell r="U84" t="str">
            <v>N/A</v>
          </cell>
          <cell r="V84" t="str">
            <v>N/A</v>
          </cell>
          <cell r="W84" t="str">
            <v>N/A</v>
          </cell>
          <cell r="X84" t="str">
            <v>N/A</v>
          </cell>
          <cell r="Y84" t="str">
            <v>N/A</v>
          </cell>
          <cell r="Z84" t="str">
            <v>N/A</v>
          </cell>
          <cell r="AA84" t="str">
            <v>N/A</v>
          </cell>
          <cell r="AB84">
            <v>40178</v>
          </cell>
          <cell r="AC84">
            <v>42004</v>
          </cell>
        </row>
        <row r="85">
          <cell r="C85">
            <v>3</v>
          </cell>
          <cell r="D85" t="str">
            <v>Not Allocated</v>
          </cell>
          <cell r="O85" t="str">
            <v>1-Year PTP with ParRate</v>
          </cell>
          <cell r="P85" t="str">
            <v>1-Year PTP with ParRate, AQR</v>
          </cell>
          <cell r="Q85" t="str">
            <v>AQRDAI5</v>
          </cell>
          <cell r="R85" t="str">
            <v>1PR</v>
          </cell>
          <cell r="S85" t="str">
            <v>AQRDAI51PR</v>
          </cell>
          <cell r="T85" t="str">
            <v>N/A</v>
          </cell>
          <cell r="U85" t="str">
            <v>N/A</v>
          </cell>
          <cell r="V85" t="str">
            <v>N/A</v>
          </cell>
          <cell r="W85" t="str">
            <v>N/A</v>
          </cell>
          <cell r="X85" t="str">
            <v>N/A</v>
          </cell>
          <cell r="Y85" t="str">
            <v>N/A</v>
          </cell>
          <cell r="Z85" t="str">
            <v>N/A</v>
          </cell>
          <cell r="AA85" t="str">
            <v>N/A</v>
          </cell>
          <cell r="AB85">
            <v>40178</v>
          </cell>
          <cell r="AC85">
            <v>42004</v>
          </cell>
        </row>
        <row r="86">
          <cell r="C86">
            <v>3</v>
          </cell>
          <cell r="D86" t="str">
            <v>Not Allocated</v>
          </cell>
          <cell r="O86" t="str">
            <v>1-Year PTP with Secure ParRate</v>
          </cell>
          <cell r="P86" t="str">
            <v>1-Year PTP with Secure ParRate, AQR</v>
          </cell>
          <cell r="Q86" t="str">
            <v>AQRDAI5</v>
          </cell>
          <cell r="R86" t="str">
            <v>1SPR</v>
          </cell>
          <cell r="S86" t="str">
            <v>AQRDAI51SPR</v>
          </cell>
          <cell r="T86" t="str">
            <v>N/A</v>
          </cell>
          <cell r="U86" t="str">
            <v>N/A</v>
          </cell>
          <cell r="V86" t="str">
            <v>N/A</v>
          </cell>
          <cell r="W86" t="str">
            <v>N/A</v>
          </cell>
          <cell r="X86" t="str">
            <v>N/A</v>
          </cell>
          <cell r="Y86" t="str">
            <v>N/A</v>
          </cell>
          <cell r="Z86" t="str">
            <v>N/A</v>
          </cell>
          <cell r="AA86" t="str">
            <v>N/A</v>
          </cell>
          <cell r="AB86">
            <v>40178</v>
          </cell>
          <cell r="AC86">
            <v>42004</v>
          </cell>
        </row>
        <row r="87">
          <cell r="C87">
            <v>3</v>
          </cell>
          <cell r="D87" t="str">
            <v>Not Allocated</v>
          </cell>
          <cell r="O87" t="str">
            <v>1-Year Performance-Triggered Account</v>
          </cell>
          <cell r="P87" t="str">
            <v>1-Year Performance-Triggered Account, AQR</v>
          </cell>
          <cell r="Q87" t="str">
            <v>AQRDAI5</v>
          </cell>
          <cell r="R87" t="str">
            <v>1PT</v>
          </cell>
          <cell r="S87" t="str">
            <v>AQRDAI51PT</v>
          </cell>
          <cell r="T87" t="str">
            <v>N/A</v>
          </cell>
          <cell r="U87" t="str">
            <v>N/A</v>
          </cell>
          <cell r="V87" t="str">
            <v>N/A</v>
          </cell>
          <cell r="W87" t="str">
            <v>N/A</v>
          </cell>
          <cell r="X87" t="str">
            <v>N/A</v>
          </cell>
          <cell r="Y87" t="str">
            <v>N/A</v>
          </cell>
          <cell r="Z87" t="str">
            <v>N/A</v>
          </cell>
          <cell r="AA87" t="str">
            <v>N/A</v>
          </cell>
          <cell r="AB87">
            <v>40178</v>
          </cell>
          <cell r="AC87">
            <v>42004</v>
          </cell>
        </row>
        <row r="88">
          <cell r="C88">
            <v>3</v>
          </cell>
          <cell r="D88" t="str">
            <v>Not Allocated</v>
          </cell>
          <cell r="O88" t="str">
            <v>1-Year PTP with Spread</v>
          </cell>
          <cell r="P88" t="str">
            <v>1-Year PTP with Spread, AQR</v>
          </cell>
          <cell r="Q88" t="str">
            <v>AQRDAI5</v>
          </cell>
          <cell r="R88" t="str">
            <v>1S</v>
          </cell>
          <cell r="S88" t="str">
            <v>AQRDAI51S</v>
          </cell>
          <cell r="T88" t="str">
            <v>N/A</v>
          </cell>
          <cell r="U88" t="str">
            <v>N/A</v>
          </cell>
          <cell r="V88" t="str">
            <v>N/A</v>
          </cell>
          <cell r="W88" t="str">
            <v>N/A</v>
          </cell>
          <cell r="X88" t="str">
            <v>N/A</v>
          </cell>
          <cell r="Y88" t="str">
            <v>N/A</v>
          </cell>
          <cell r="Z88" t="str">
            <v>N/A</v>
          </cell>
          <cell r="AA88" t="str">
            <v>N/A</v>
          </cell>
          <cell r="AB88">
            <v>40178</v>
          </cell>
          <cell r="AC88">
            <v>42004</v>
          </cell>
        </row>
        <row r="89">
          <cell r="C89">
            <v>3</v>
          </cell>
          <cell r="D89" t="str">
            <v>Not Allocated</v>
          </cell>
          <cell r="O89" t="str">
            <v>1-Year PTP with ParRate &amp; Cap</v>
          </cell>
          <cell r="P89" t="str">
            <v>1-Year PTP with ParRate &amp; Cap, AQR</v>
          </cell>
          <cell r="Q89" t="str">
            <v>AQRDAI5</v>
          </cell>
          <cell r="R89" t="str">
            <v>1PRC</v>
          </cell>
          <cell r="S89" t="str">
            <v>AQRDAI51PRC</v>
          </cell>
          <cell r="T89" t="str">
            <v>N/A</v>
          </cell>
          <cell r="U89" t="str">
            <v>N/A</v>
          </cell>
          <cell r="V89" t="str">
            <v>N/A</v>
          </cell>
          <cell r="W89" t="str">
            <v>N/A</v>
          </cell>
          <cell r="X89" t="str">
            <v>N/A</v>
          </cell>
          <cell r="Y89" t="str">
            <v>N/A</v>
          </cell>
          <cell r="Z89" t="str">
            <v>N/A</v>
          </cell>
          <cell r="AA89" t="str">
            <v>N/A</v>
          </cell>
          <cell r="AB89">
            <v>40178</v>
          </cell>
          <cell r="AC89">
            <v>42004</v>
          </cell>
        </row>
        <row r="90">
          <cell r="C90">
            <v>3</v>
          </cell>
          <cell r="D90" t="str">
            <v>Not Allocated</v>
          </cell>
          <cell r="O90" t="str">
            <v>1-Year PTP with ParRate &amp; Spread</v>
          </cell>
          <cell r="P90" t="str">
            <v>1-Year PTP with ParRate &amp; Spread, AQR</v>
          </cell>
          <cell r="Q90" t="str">
            <v>AQRDAI5</v>
          </cell>
          <cell r="R90" t="str">
            <v>1PRS</v>
          </cell>
          <cell r="S90" t="str">
            <v>AQRDAI51PRS</v>
          </cell>
          <cell r="T90" t="str">
            <v>N/A</v>
          </cell>
          <cell r="U90" t="str">
            <v>N/A</v>
          </cell>
          <cell r="V90" t="str">
            <v>N/A</v>
          </cell>
          <cell r="W90" t="str">
            <v>N/A</v>
          </cell>
          <cell r="X90" t="str">
            <v>N/A</v>
          </cell>
          <cell r="Y90" t="str">
            <v>N/A</v>
          </cell>
          <cell r="Z90" t="str">
            <v>N/A</v>
          </cell>
          <cell r="AA90" t="str">
            <v>N/A</v>
          </cell>
          <cell r="AB90">
            <v>40178</v>
          </cell>
          <cell r="AC90">
            <v>42004</v>
          </cell>
        </row>
        <row r="91">
          <cell r="C91">
            <v>3</v>
          </cell>
          <cell r="D91" t="str">
            <v>Not Allocated</v>
          </cell>
          <cell r="O91" t="str">
            <v>1-Year PTP with EPRS Tier 1</v>
          </cell>
          <cell r="P91" t="str">
            <v>1-Year PTP with EPRS Tier 1, AQR</v>
          </cell>
          <cell r="Q91" t="str">
            <v>AQRDAI5</v>
          </cell>
          <cell r="R91" t="str">
            <v>1EPRST1</v>
          </cell>
          <cell r="S91" t="str">
            <v>AQRDAI51EPRST1</v>
          </cell>
          <cell r="T91" t="str">
            <v>N/A</v>
          </cell>
          <cell r="U91" t="str">
            <v>N/A</v>
          </cell>
          <cell r="V91" t="str">
            <v>N/A</v>
          </cell>
          <cell r="W91" t="str">
            <v>N/A</v>
          </cell>
          <cell r="X91" t="str">
            <v>N/A</v>
          </cell>
          <cell r="Y91" t="str">
            <v>N/A</v>
          </cell>
          <cell r="Z91" t="str">
            <v>N/A</v>
          </cell>
          <cell r="AA91" t="str">
            <v>N/A</v>
          </cell>
          <cell r="AB91">
            <v>40178</v>
          </cell>
          <cell r="AC91">
            <v>42004</v>
          </cell>
        </row>
        <row r="92">
          <cell r="C92">
            <v>3</v>
          </cell>
          <cell r="D92" t="str">
            <v>Not Allocated</v>
          </cell>
          <cell r="O92" t="str">
            <v>1-Year PTP with EPRS Tier 2</v>
          </cell>
          <cell r="P92" t="str">
            <v>1-Year PTP with EPRS Tier 2, AQR</v>
          </cell>
          <cell r="Q92" t="str">
            <v>AQRDAI5</v>
          </cell>
          <cell r="R92" t="str">
            <v>1EPRST2</v>
          </cell>
          <cell r="S92" t="str">
            <v>AQRDAI51EPRST2</v>
          </cell>
          <cell r="T92" t="str">
            <v>N/A</v>
          </cell>
          <cell r="U92" t="str">
            <v>N/A</v>
          </cell>
          <cell r="V92" t="str">
            <v>N/A</v>
          </cell>
          <cell r="W92" t="str">
            <v>N/A</v>
          </cell>
          <cell r="X92" t="str">
            <v>N/A</v>
          </cell>
          <cell r="Y92" t="str">
            <v>N/A</v>
          </cell>
          <cell r="Z92" t="str">
            <v>N/A</v>
          </cell>
          <cell r="AA92" t="str">
            <v>N/A</v>
          </cell>
          <cell r="AB92">
            <v>40178</v>
          </cell>
          <cell r="AC92">
            <v>42004</v>
          </cell>
        </row>
        <row r="93">
          <cell r="C93">
            <v>3</v>
          </cell>
          <cell r="D93" t="str">
            <v>Not Allocated</v>
          </cell>
          <cell r="O93" t="str">
            <v>2-Year PTP with Cap</v>
          </cell>
          <cell r="P93" t="str">
            <v>2-Year PTP with Cap, AQR</v>
          </cell>
          <cell r="Q93" t="str">
            <v>AQRDAI5</v>
          </cell>
          <cell r="R93" t="str">
            <v>2C</v>
          </cell>
          <cell r="S93" t="str">
            <v>AQRDAI52C</v>
          </cell>
          <cell r="T93" t="str">
            <v>N/A</v>
          </cell>
          <cell r="U93" t="str">
            <v>N/A</v>
          </cell>
          <cell r="V93" t="str">
            <v>N/A</v>
          </cell>
          <cell r="W93" t="str">
            <v>N/A</v>
          </cell>
          <cell r="X93" t="str">
            <v>N/A</v>
          </cell>
          <cell r="Y93" t="str">
            <v>N/A</v>
          </cell>
          <cell r="Z93" t="str">
            <v>N/A</v>
          </cell>
          <cell r="AA93" t="str">
            <v>N/A</v>
          </cell>
          <cell r="AB93">
            <v>40178</v>
          </cell>
          <cell r="AC93">
            <v>42004</v>
          </cell>
        </row>
        <row r="94">
          <cell r="C94">
            <v>3</v>
          </cell>
          <cell r="D94" t="str">
            <v>Not Allocated</v>
          </cell>
          <cell r="O94" t="str">
            <v>2-Year PTP with ParRate</v>
          </cell>
          <cell r="P94" t="str">
            <v>2-Year PTP with ParRate, AQR</v>
          </cell>
          <cell r="Q94" t="str">
            <v>AQRDAI5</v>
          </cell>
          <cell r="R94" t="str">
            <v>2PR</v>
          </cell>
          <cell r="S94" t="str">
            <v>AQRDAI52PR</v>
          </cell>
          <cell r="T94" t="str">
            <v>N/A</v>
          </cell>
          <cell r="U94" t="str">
            <v>N/A</v>
          </cell>
          <cell r="V94" t="str">
            <v>N/A</v>
          </cell>
          <cell r="W94" t="str">
            <v>N/A</v>
          </cell>
          <cell r="X94" t="str">
            <v>N/A</v>
          </cell>
          <cell r="Y94" t="str">
            <v>N/A</v>
          </cell>
          <cell r="Z94" t="str">
            <v>N/A</v>
          </cell>
          <cell r="AA94" t="str">
            <v>N/A</v>
          </cell>
          <cell r="AB94">
            <v>40178</v>
          </cell>
          <cell r="AC94">
            <v>42004</v>
          </cell>
        </row>
        <row r="95">
          <cell r="C95">
            <v>3</v>
          </cell>
          <cell r="D95" t="str">
            <v>Not Allocated</v>
          </cell>
          <cell r="O95" t="str">
            <v>2-Year PTP with Spread</v>
          </cell>
          <cell r="P95" t="str">
            <v>2-Year PTP with Spread, AQR</v>
          </cell>
          <cell r="Q95" t="str">
            <v>AQRDAI5</v>
          </cell>
          <cell r="R95" t="str">
            <v>2S</v>
          </cell>
          <cell r="S95" t="str">
            <v>AQRDAI52S</v>
          </cell>
          <cell r="T95" t="str">
            <v>N/A</v>
          </cell>
          <cell r="U95" t="str">
            <v>N/A</v>
          </cell>
          <cell r="V95" t="str">
            <v>N/A</v>
          </cell>
          <cell r="W95" t="str">
            <v>N/A</v>
          </cell>
          <cell r="X95" t="str">
            <v>N/A</v>
          </cell>
          <cell r="Y95" t="str">
            <v>N/A</v>
          </cell>
          <cell r="Z95" t="str">
            <v>N/A</v>
          </cell>
          <cell r="AA95" t="str">
            <v>N/A</v>
          </cell>
          <cell r="AB95">
            <v>40178</v>
          </cell>
          <cell r="AC95">
            <v>42004</v>
          </cell>
        </row>
        <row r="96">
          <cell r="C96">
            <v>3</v>
          </cell>
          <cell r="D96" t="str">
            <v>Not Allocated</v>
          </cell>
          <cell r="O96" t="str">
            <v>2-Year PTP with ParRate &amp; Spread</v>
          </cell>
          <cell r="P96" t="str">
            <v>2-Year PTP with ParRate &amp; Spread, AQR</v>
          </cell>
          <cell r="Q96" t="str">
            <v>AQRDAI5</v>
          </cell>
          <cell r="R96" t="str">
            <v>2PRS</v>
          </cell>
          <cell r="S96" t="str">
            <v>AQRDAI52PRS</v>
          </cell>
          <cell r="T96" t="str">
            <v>N/A</v>
          </cell>
          <cell r="U96" t="str">
            <v>N/A</v>
          </cell>
          <cell r="V96" t="str">
            <v>N/A</v>
          </cell>
          <cell r="W96" t="str">
            <v>N/A</v>
          </cell>
          <cell r="X96" t="str">
            <v>N/A</v>
          </cell>
          <cell r="Y96" t="str">
            <v>N/A</v>
          </cell>
          <cell r="Z96" t="str">
            <v>N/A</v>
          </cell>
          <cell r="AA96" t="str">
            <v>N/A</v>
          </cell>
          <cell r="AB96">
            <v>40178</v>
          </cell>
          <cell r="AC96">
            <v>42004</v>
          </cell>
        </row>
        <row r="97">
          <cell r="O97" t="str">
            <v>2-Year PTP with EPRS Tier 1</v>
          </cell>
          <cell r="P97" t="str">
            <v>2-Year PTP with EPRS Tier 1, AQR</v>
          </cell>
          <cell r="Q97" t="str">
            <v>AQRDAI5</v>
          </cell>
          <cell r="R97" t="str">
            <v>2EPRST1</v>
          </cell>
          <cell r="S97" t="str">
            <v>AQRDAI52EPRST1</v>
          </cell>
          <cell r="T97" t="str">
            <v>N/A</v>
          </cell>
          <cell r="U97" t="str">
            <v>N/A</v>
          </cell>
          <cell r="V97" t="str">
            <v>N/A</v>
          </cell>
          <cell r="W97" t="str">
            <v>N/A</v>
          </cell>
          <cell r="X97" t="str">
            <v>N/A</v>
          </cell>
          <cell r="Y97" t="str">
            <v>N/A</v>
          </cell>
          <cell r="Z97" t="str">
            <v>N/A</v>
          </cell>
          <cell r="AA97" t="str">
            <v>N/A</v>
          </cell>
          <cell r="AB97">
            <v>40178</v>
          </cell>
          <cell r="AC97">
            <v>42004</v>
          </cell>
        </row>
        <row r="98">
          <cell r="O98" t="str">
            <v>2-Year PTP with EPRS Tier 2</v>
          </cell>
          <cell r="P98" t="str">
            <v>2-Year PTP with EPRS Tier 2, AQR</v>
          </cell>
          <cell r="Q98" t="str">
            <v>AQRDAI5</v>
          </cell>
          <cell r="R98" t="str">
            <v>2EPRST2</v>
          </cell>
          <cell r="S98" t="str">
            <v>AQRDAI52EPRST2</v>
          </cell>
          <cell r="T98" t="str">
            <v>N/A</v>
          </cell>
          <cell r="U98" t="str">
            <v>N/A</v>
          </cell>
          <cell r="V98" t="str">
            <v>N/A</v>
          </cell>
          <cell r="W98" t="str">
            <v>N/A</v>
          </cell>
          <cell r="X98" t="str">
            <v>N/A</v>
          </cell>
          <cell r="Y98" t="str">
            <v>N/A</v>
          </cell>
          <cell r="Z98" t="str">
            <v>N/A</v>
          </cell>
          <cell r="AA98" t="str">
            <v>N/A</v>
          </cell>
          <cell r="AB98">
            <v>40178</v>
          </cell>
          <cell r="AC98">
            <v>42004</v>
          </cell>
        </row>
        <row r="99">
          <cell r="D99" t="str">
            <v>GSPC</v>
          </cell>
          <cell r="O99" t="str">
            <v>5-Year PTP with Cap</v>
          </cell>
          <cell r="P99" t="str">
            <v>5-Year PTP with Cap, AQR</v>
          </cell>
          <cell r="Q99" t="str">
            <v>AQRDAI5</v>
          </cell>
          <cell r="R99" t="str">
            <v>5C</v>
          </cell>
          <cell r="S99" t="str">
            <v>AQRDAI55C</v>
          </cell>
          <cell r="T99" t="str">
            <v>N/A</v>
          </cell>
          <cell r="U99" t="str">
            <v>N/A</v>
          </cell>
          <cell r="V99" t="str">
            <v>N/A</v>
          </cell>
          <cell r="W99" t="str">
            <v>N/A</v>
          </cell>
          <cell r="X99" t="str">
            <v>N/A</v>
          </cell>
          <cell r="Y99" t="str">
            <v>N/A</v>
          </cell>
          <cell r="Z99" t="str">
            <v>N/A</v>
          </cell>
          <cell r="AA99" t="str">
            <v>N/A</v>
          </cell>
          <cell r="AB99">
            <v>40178</v>
          </cell>
          <cell r="AC99">
            <v>42004</v>
          </cell>
        </row>
        <row r="100">
          <cell r="D100" t="str">
            <v>PIMGOPT</v>
          </cell>
          <cell r="N100" t="str">
            <v>AQR - State Non-Approval</v>
          </cell>
          <cell r="O100" t="str">
            <v>1-Year PTP with Cap</v>
          </cell>
          <cell r="P100" t="str">
            <v>1-Year PTP with Cap, AQR - State Non-Approval</v>
          </cell>
          <cell r="Q100" t="str">
            <v>AQRDAI5sna</v>
          </cell>
          <cell r="R100" t="str">
            <v>1C</v>
          </cell>
          <cell r="S100" t="str">
            <v>AQRDAI5sna1C</v>
          </cell>
          <cell r="T100" t="str">
            <v>N/A</v>
          </cell>
          <cell r="U100" t="str">
            <v>N/A</v>
          </cell>
          <cell r="V100" t="str">
            <v>N/A</v>
          </cell>
          <cell r="W100" t="str">
            <v>N/A</v>
          </cell>
          <cell r="X100" t="str">
            <v>N/A</v>
          </cell>
          <cell r="Y100" t="str">
            <v>N/A</v>
          </cell>
          <cell r="Z100" t="str">
            <v>N/A</v>
          </cell>
          <cell r="AA100" t="str">
            <v>N/A</v>
          </cell>
          <cell r="AB100">
            <v>40178</v>
          </cell>
          <cell r="AC100">
            <v>42004</v>
          </cell>
        </row>
        <row r="101">
          <cell r="D101" t="str">
            <v>MLSB</v>
          </cell>
          <cell r="O101" t="str">
            <v>1-Year PTP with Secure Cap</v>
          </cell>
          <cell r="P101" t="str">
            <v>1-Year PTP with Secure Cap, AQR - State Non-Approval</v>
          </cell>
          <cell r="Q101" t="str">
            <v>AQRDAI5sna</v>
          </cell>
          <cell r="R101" t="str">
            <v>1SC</v>
          </cell>
          <cell r="S101" t="str">
            <v>AQRDAI5sna1SC</v>
          </cell>
          <cell r="T101" t="str">
            <v>N/A</v>
          </cell>
          <cell r="U101" t="str">
            <v>N/A</v>
          </cell>
          <cell r="V101" t="str">
            <v>N/A</v>
          </cell>
          <cell r="W101" t="str">
            <v>N/A</v>
          </cell>
          <cell r="X101" t="str">
            <v>N/A</v>
          </cell>
          <cell r="Y101" t="str">
            <v>N/A</v>
          </cell>
          <cell r="Z101" t="str">
            <v>N/A</v>
          </cell>
          <cell r="AA101" t="str">
            <v>N/A</v>
          </cell>
          <cell r="AB101">
            <v>40178</v>
          </cell>
          <cell r="AC101">
            <v>42004</v>
          </cell>
        </row>
        <row r="102">
          <cell r="D102" t="str">
            <v/>
          </cell>
          <cell r="O102" t="str">
            <v>1-Year PTP with ParRate</v>
          </cell>
          <cell r="P102" t="str">
            <v>1-Year PTP with ParRate, AQR - State Non-Approval</v>
          </cell>
          <cell r="Q102" t="str">
            <v>AQRDAI5sna</v>
          </cell>
          <cell r="R102" t="str">
            <v>1PR</v>
          </cell>
          <cell r="S102" t="str">
            <v>AQRDAI5sna1PR</v>
          </cell>
          <cell r="T102" t="str">
            <v>N/A</v>
          </cell>
          <cell r="U102" t="str">
            <v>N/A</v>
          </cell>
          <cell r="V102" t="str">
            <v>N/A</v>
          </cell>
          <cell r="W102" t="str">
            <v>N/A</v>
          </cell>
          <cell r="X102" t="str">
            <v>N/A</v>
          </cell>
          <cell r="Y102" t="str">
            <v>N/A</v>
          </cell>
          <cell r="Z102" t="str">
            <v>N/A</v>
          </cell>
          <cell r="AA102" t="str">
            <v>N/A</v>
          </cell>
          <cell r="AB102">
            <v>40178</v>
          </cell>
          <cell r="AC102">
            <v>42004</v>
          </cell>
        </row>
        <row r="103">
          <cell r="D103" t="str">
            <v/>
          </cell>
          <cell r="O103" t="str">
            <v>1-Year PTP with Secure ParRate</v>
          </cell>
          <cell r="P103" t="str">
            <v>1-Year PTP with Secure ParRate, AQR - State Non-Approval</v>
          </cell>
          <cell r="Q103" t="str">
            <v>AQRDAI5sna</v>
          </cell>
          <cell r="R103" t="str">
            <v>1SPR</v>
          </cell>
          <cell r="S103" t="str">
            <v>AQRDAI5sna1SPR</v>
          </cell>
          <cell r="T103" t="str">
            <v>N/A</v>
          </cell>
          <cell r="U103" t="str">
            <v>N/A</v>
          </cell>
          <cell r="V103" t="str">
            <v>N/A</v>
          </cell>
          <cell r="W103" t="str">
            <v>N/A</v>
          </cell>
          <cell r="X103" t="str">
            <v>N/A</v>
          </cell>
          <cell r="Y103" t="str">
            <v>N/A</v>
          </cell>
          <cell r="Z103" t="str">
            <v>N/A</v>
          </cell>
          <cell r="AA103" t="str">
            <v>N/A</v>
          </cell>
          <cell r="AB103">
            <v>40178</v>
          </cell>
          <cell r="AC103">
            <v>42004</v>
          </cell>
        </row>
        <row r="104">
          <cell r="D104" t="str">
            <v/>
          </cell>
          <cell r="O104" t="str">
            <v>1-Year Performance-Triggered Account</v>
          </cell>
          <cell r="P104" t="str">
            <v>1-Year Performance-Triggered Account, AQR - State Non-Approval</v>
          </cell>
          <cell r="Q104" t="str">
            <v>AQRDAI5sna</v>
          </cell>
          <cell r="R104" t="str">
            <v>1PT</v>
          </cell>
          <cell r="S104" t="str">
            <v>AQRDAI5sna1PT</v>
          </cell>
          <cell r="T104" t="str">
            <v>N/A</v>
          </cell>
          <cell r="U104" t="str">
            <v>N/A</v>
          </cell>
          <cell r="V104" t="str">
            <v>N/A</v>
          </cell>
          <cell r="W104" t="str">
            <v>N/A</v>
          </cell>
          <cell r="X104" t="str">
            <v>N/A</v>
          </cell>
          <cell r="Y104" t="str">
            <v>N/A</v>
          </cell>
          <cell r="Z104" t="str">
            <v>N/A</v>
          </cell>
          <cell r="AA104" t="str">
            <v>N/A</v>
          </cell>
          <cell r="AB104">
            <v>40178</v>
          </cell>
          <cell r="AC104">
            <v>42004</v>
          </cell>
        </row>
        <row r="105">
          <cell r="D105" t="str">
            <v/>
          </cell>
          <cell r="O105" t="str">
            <v>1-Year PTP with Spread</v>
          </cell>
          <cell r="P105" t="str">
            <v>1-Year PTP with Spread, AQR - State Non-Approval</v>
          </cell>
          <cell r="Q105" t="str">
            <v>AQRDAI5sna</v>
          </cell>
          <cell r="R105" t="str">
            <v>1S</v>
          </cell>
          <cell r="S105" t="str">
            <v>AQRDAI5sna1S</v>
          </cell>
          <cell r="T105" t="str">
            <v>N/A</v>
          </cell>
          <cell r="U105" t="str">
            <v>N/A</v>
          </cell>
          <cell r="V105" t="str">
            <v>N/A</v>
          </cell>
          <cell r="W105" t="str">
            <v>N/A</v>
          </cell>
          <cell r="X105" t="str">
            <v>N/A</v>
          </cell>
          <cell r="Y105" t="str">
            <v>N/A</v>
          </cell>
          <cell r="Z105" t="str">
            <v>N/A</v>
          </cell>
          <cell r="AA105" t="str">
            <v>N/A</v>
          </cell>
          <cell r="AB105">
            <v>40178</v>
          </cell>
          <cell r="AC105">
            <v>42004</v>
          </cell>
        </row>
        <row r="106">
          <cell r="D106" t="str">
            <v/>
          </cell>
          <cell r="O106" t="str">
            <v>1-Year PTP with ParRate &amp; Cap</v>
          </cell>
          <cell r="P106" t="str">
            <v>1-Year PTP with ParRate &amp; Cap, AQR - State Non-Approval</v>
          </cell>
          <cell r="Q106" t="str">
            <v>AQRDAI5sna</v>
          </cell>
          <cell r="R106" t="str">
            <v>1PRC</v>
          </cell>
          <cell r="S106" t="str">
            <v>AQRDAI5sna1PRC</v>
          </cell>
          <cell r="T106" t="str">
            <v>N/A</v>
          </cell>
          <cell r="U106" t="str">
            <v>N/A</v>
          </cell>
          <cell r="V106" t="str">
            <v>N/A</v>
          </cell>
          <cell r="W106" t="str">
            <v>N/A</v>
          </cell>
          <cell r="X106" t="str">
            <v>N/A</v>
          </cell>
          <cell r="Y106" t="str">
            <v>N/A</v>
          </cell>
          <cell r="Z106" t="str">
            <v>N/A</v>
          </cell>
          <cell r="AA106" t="str">
            <v>N/A</v>
          </cell>
          <cell r="AB106">
            <v>40178</v>
          </cell>
          <cell r="AC106">
            <v>42004</v>
          </cell>
        </row>
        <row r="107">
          <cell r="D107" t="str">
            <v/>
          </cell>
          <cell r="O107" t="str">
            <v>1-Year PTP with ParRate &amp; Spread</v>
          </cell>
          <cell r="P107" t="str">
            <v>1-Year PTP with ParRate &amp; Spread, AQR - State Non-Approval</v>
          </cell>
          <cell r="Q107" t="str">
            <v>AQRDAI5sna</v>
          </cell>
          <cell r="R107" t="str">
            <v>1PRS</v>
          </cell>
          <cell r="S107" t="str">
            <v>AQRDAI5sna1PRS</v>
          </cell>
          <cell r="T107" t="str">
            <v>N/A</v>
          </cell>
          <cell r="U107" t="str">
            <v>N/A</v>
          </cell>
          <cell r="V107" t="str">
            <v>N/A</v>
          </cell>
          <cell r="W107" t="str">
            <v>N/A</v>
          </cell>
          <cell r="X107" t="str">
            <v>N/A</v>
          </cell>
          <cell r="Y107" t="str">
            <v>N/A</v>
          </cell>
          <cell r="Z107" t="str">
            <v>N/A</v>
          </cell>
          <cell r="AA107" t="str">
            <v>N/A</v>
          </cell>
          <cell r="AB107">
            <v>40178</v>
          </cell>
          <cell r="AC107">
            <v>42004</v>
          </cell>
        </row>
        <row r="108">
          <cell r="D108" t="str">
            <v/>
          </cell>
          <cell r="O108" t="str">
            <v>1-Year PTP with EPRS Tier 1</v>
          </cell>
          <cell r="P108" t="str">
            <v>1-Year PTP with EPRS Tier 1, AQR - State Non-Approval</v>
          </cell>
          <cell r="Q108" t="str">
            <v>AQRDAI5sna</v>
          </cell>
          <cell r="R108" t="str">
            <v>1EPRST1</v>
          </cell>
          <cell r="S108" t="str">
            <v>AQRDAI5sna1EPRST1</v>
          </cell>
          <cell r="T108" t="str">
            <v>N/A</v>
          </cell>
          <cell r="U108" t="str">
            <v>N/A</v>
          </cell>
          <cell r="V108" t="str">
            <v>N/A</v>
          </cell>
          <cell r="W108" t="str">
            <v>N/A</v>
          </cell>
          <cell r="X108" t="str">
            <v>N/A</v>
          </cell>
          <cell r="Y108" t="str">
            <v>N/A</v>
          </cell>
          <cell r="Z108" t="str">
            <v>N/A</v>
          </cell>
          <cell r="AA108" t="str">
            <v>N/A</v>
          </cell>
          <cell r="AB108">
            <v>40178</v>
          </cell>
          <cell r="AC108">
            <v>42004</v>
          </cell>
        </row>
        <row r="109">
          <cell r="D109" t="str">
            <v/>
          </cell>
          <cell r="O109" t="str">
            <v>1-Year PTP with EPRS Tier 2</v>
          </cell>
          <cell r="P109" t="str">
            <v>1-Year PTP with EPRS Tier 2, AQR - State Non-Approval</v>
          </cell>
          <cell r="Q109" t="str">
            <v>AQRDAI5sna</v>
          </cell>
          <cell r="R109" t="str">
            <v>1EPRST2</v>
          </cell>
          <cell r="S109" t="str">
            <v>AQRDAI5sna1EPRST2</v>
          </cell>
          <cell r="T109" t="str">
            <v>N/A</v>
          </cell>
          <cell r="U109" t="str">
            <v>N/A</v>
          </cell>
          <cell r="V109" t="str">
            <v>N/A</v>
          </cell>
          <cell r="W109" t="str">
            <v>N/A</v>
          </cell>
          <cell r="X109" t="str">
            <v>N/A</v>
          </cell>
          <cell r="Y109" t="str">
            <v>N/A</v>
          </cell>
          <cell r="Z109" t="str">
            <v>N/A</v>
          </cell>
          <cell r="AA109" t="str">
            <v>N/A</v>
          </cell>
          <cell r="AB109">
            <v>40178</v>
          </cell>
          <cell r="AC109">
            <v>42004</v>
          </cell>
        </row>
        <row r="110">
          <cell r="D110" t="str">
            <v/>
          </cell>
          <cell r="O110" t="str">
            <v>2-Year PTP with Cap</v>
          </cell>
          <cell r="P110" t="str">
            <v>2-Year PTP with Cap, AQR - State Non-Approval</v>
          </cell>
          <cell r="Q110" t="str">
            <v>AQRDAI5sna</v>
          </cell>
          <cell r="R110" t="str">
            <v>2C</v>
          </cell>
          <cell r="S110" t="str">
            <v>AQRDAI5sna2C</v>
          </cell>
          <cell r="T110" t="str">
            <v>N/A</v>
          </cell>
          <cell r="U110" t="str">
            <v>N/A</v>
          </cell>
          <cell r="V110" t="str">
            <v>N/A</v>
          </cell>
          <cell r="W110" t="str">
            <v>N/A</v>
          </cell>
          <cell r="X110" t="str">
            <v>N/A</v>
          </cell>
          <cell r="Y110" t="str">
            <v>N/A</v>
          </cell>
          <cell r="Z110" t="str">
            <v>N/A</v>
          </cell>
          <cell r="AA110" t="str">
            <v>N/A</v>
          </cell>
          <cell r="AB110">
            <v>40178</v>
          </cell>
          <cell r="AC110">
            <v>42004</v>
          </cell>
        </row>
        <row r="111">
          <cell r="D111" t="str">
            <v/>
          </cell>
          <cell r="O111" t="str">
            <v>2-Year PTP with ParRate</v>
          </cell>
          <cell r="P111" t="str">
            <v>2-Year PTP with ParRate, AQR - State Non-Approval</v>
          </cell>
          <cell r="Q111" t="str">
            <v>AQRDAI5sna</v>
          </cell>
          <cell r="R111" t="str">
            <v>2PR</v>
          </cell>
          <cell r="S111" t="str">
            <v>AQRDAI5sna2PR</v>
          </cell>
          <cell r="T111" t="str">
            <v>N/A</v>
          </cell>
          <cell r="U111" t="str">
            <v>N/A</v>
          </cell>
          <cell r="V111" t="str">
            <v>N/A</v>
          </cell>
          <cell r="W111" t="str">
            <v>N/A</v>
          </cell>
          <cell r="X111" t="str">
            <v>N/A</v>
          </cell>
          <cell r="Y111" t="str">
            <v>N/A</v>
          </cell>
          <cell r="Z111" t="str">
            <v>N/A</v>
          </cell>
          <cell r="AA111" t="str">
            <v>N/A</v>
          </cell>
          <cell r="AB111">
            <v>40178</v>
          </cell>
          <cell r="AC111">
            <v>42004</v>
          </cell>
        </row>
        <row r="112">
          <cell r="D112" t="str">
            <v/>
          </cell>
          <cell r="O112" t="str">
            <v>2-Year PTP with Spread</v>
          </cell>
          <cell r="P112" t="str">
            <v>2-Year PTP with Spread, AQR - State Non-Approval</v>
          </cell>
          <cell r="Q112" t="str">
            <v>AQRDAI5sna</v>
          </cell>
          <cell r="R112" t="str">
            <v>2S</v>
          </cell>
          <cell r="S112" t="str">
            <v>AQRDAI5sna2S</v>
          </cell>
          <cell r="T112" t="str">
            <v>N/A</v>
          </cell>
          <cell r="U112" t="str">
            <v>N/A</v>
          </cell>
          <cell r="V112" t="str">
            <v>N/A</v>
          </cell>
          <cell r="W112" t="str">
            <v>N/A</v>
          </cell>
          <cell r="X112" t="str">
            <v>N/A</v>
          </cell>
          <cell r="Y112" t="str">
            <v>N/A</v>
          </cell>
          <cell r="Z112" t="str">
            <v>N/A</v>
          </cell>
          <cell r="AA112" t="str">
            <v>N/A</v>
          </cell>
          <cell r="AB112">
            <v>40178</v>
          </cell>
          <cell r="AC112">
            <v>42004</v>
          </cell>
        </row>
        <row r="113">
          <cell r="D113" t="str">
            <v/>
          </cell>
          <cell r="O113" t="str">
            <v>2-Year PTP with ParRate &amp; Spread</v>
          </cell>
          <cell r="P113" t="str">
            <v>2-Year PTP with ParRate &amp; Spread, AQR - State Non-Approval</v>
          </cell>
          <cell r="Q113" t="str">
            <v>AQRDAI5sna</v>
          </cell>
          <cell r="R113" t="str">
            <v>2PRS</v>
          </cell>
          <cell r="S113" t="str">
            <v>AQRDAI5sna2PRS</v>
          </cell>
          <cell r="T113" t="str">
            <v>N/A</v>
          </cell>
          <cell r="U113" t="str">
            <v>N/A</v>
          </cell>
          <cell r="V113" t="str">
            <v>N/A</v>
          </cell>
          <cell r="W113" t="str">
            <v>N/A</v>
          </cell>
          <cell r="X113" t="str">
            <v>N/A</v>
          </cell>
          <cell r="Y113" t="str">
            <v>N/A</v>
          </cell>
          <cell r="Z113" t="str">
            <v>N/A</v>
          </cell>
          <cell r="AA113" t="str">
            <v>N/A</v>
          </cell>
          <cell r="AB113">
            <v>40178</v>
          </cell>
          <cell r="AC113">
            <v>42004</v>
          </cell>
        </row>
        <row r="114">
          <cell r="D114" t="str">
            <v/>
          </cell>
          <cell r="O114" t="str">
            <v>2-Year PTP with EPRS Tier 1</v>
          </cell>
          <cell r="P114" t="str">
            <v>2-Year PTP with EPRS Tier 1, AQR - State Non-Approval</v>
          </cell>
          <cell r="Q114" t="str">
            <v>AQRDAI5sna</v>
          </cell>
          <cell r="R114" t="str">
            <v>2EPRST1</v>
          </cell>
          <cell r="S114" t="str">
            <v>AQRDAI5sna2EPRST1</v>
          </cell>
          <cell r="T114" t="str">
            <v>N/A</v>
          </cell>
          <cell r="U114" t="str">
            <v>N/A</v>
          </cell>
          <cell r="V114" t="str">
            <v>N/A</v>
          </cell>
          <cell r="W114" t="str">
            <v>N/A</v>
          </cell>
          <cell r="X114" t="str">
            <v>N/A</v>
          </cell>
          <cell r="Y114" t="str">
            <v>N/A</v>
          </cell>
          <cell r="Z114" t="str">
            <v>N/A</v>
          </cell>
          <cell r="AA114" t="str">
            <v>N/A</v>
          </cell>
          <cell r="AB114">
            <v>40178</v>
          </cell>
          <cell r="AC114">
            <v>42004</v>
          </cell>
        </row>
        <row r="115">
          <cell r="D115" t="str">
            <v/>
          </cell>
          <cell r="O115" t="str">
            <v>2-Year PTP with EPRS Tier 2</v>
          </cell>
          <cell r="P115" t="str">
            <v>2-Year PTP with EPRS Tier 2, AQR - State Non-Approval</v>
          </cell>
          <cell r="Q115" t="str">
            <v>AQRDAI5sna</v>
          </cell>
          <cell r="R115" t="str">
            <v>2EPRST2</v>
          </cell>
          <cell r="S115" t="str">
            <v>AQRDAI5sna2EPRST2</v>
          </cell>
          <cell r="T115" t="str">
            <v>N/A</v>
          </cell>
          <cell r="U115" t="str">
            <v>N/A</v>
          </cell>
          <cell r="V115" t="str">
            <v>N/A</v>
          </cell>
          <cell r="W115" t="str">
            <v>N/A</v>
          </cell>
          <cell r="X115" t="str">
            <v>N/A</v>
          </cell>
          <cell r="Y115" t="str">
            <v>N/A</v>
          </cell>
          <cell r="Z115" t="str">
            <v>N/A</v>
          </cell>
          <cell r="AA115" t="str">
            <v>N/A</v>
          </cell>
          <cell r="AB115">
            <v>40178</v>
          </cell>
          <cell r="AC115">
            <v>42004</v>
          </cell>
        </row>
        <row r="116">
          <cell r="D116" t="str">
            <v/>
          </cell>
          <cell r="O116" t="str">
            <v>5-Year PTP with Cap</v>
          </cell>
          <cell r="P116" t="str">
            <v>5-Year PTP with Cap, AQR - State Non-Approval</v>
          </cell>
          <cell r="Q116" t="str">
            <v>AQRDAI5sna</v>
          </cell>
          <cell r="R116" t="str">
            <v>5C</v>
          </cell>
          <cell r="S116" t="str">
            <v>AQRDAI5sna5C</v>
          </cell>
          <cell r="T116" t="str">
            <v>N/A</v>
          </cell>
          <cell r="U116" t="str">
            <v>N/A</v>
          </cell>
          <cell r="V116" t="str">
            <v>N/A</v>
          </cell>
          <cell r="W116" t="str">
            <v>N/A</v>
          </cell>
          <cell r="X116" t="str">
            <v>N/A</v>
          </cell>
          <cell r="Y116" t="str">
            <v>N/A</v>
          </cell>
          <cell r="Z116" t="str">
            <v>N/A</v>
          </cell>
          <cell r="AA116" t="str">
            <v>N/A</v>
          </cell>
          <cell r="AB116">
            <v>40178</v>
          </cell>
          <cell r="AC116">
            <v>42004</v>
          </cell>
        </row>
        <row r="117">
          <cell r="D117" t="str">
            <v/>
          </cell>
          <cell r="N117" t="str">
            <v>Dimensional US Foundations (DFA)</v>
          </cell>
          <cell r="O117" t="str">
            <v>1-Year PTP with Cap</v>
          </cell>
          <cell r="P117" t="str">
            <v>1-Year PTP with Cap, Dimensional US Foundations (DFA)</v>
          </cell>
          <cell r="Q117" t="str">
            <v>DFAUSFDS</v>
          </cell>
          <cell r="R117" t="str">
            <v>1C</v>
          </cell>
          <cell r="S117" t="str">
            <v>DFAUSFDS1C</v>
          </cell>
          <cell r="T117" t="str">
            <v>N/A</v>
          </cell>
          <cell r="U117" t="str">
            <v>N/A</v>
          </cell>
          <cell r="V117" t="str">
            <v>N/A</v>
          </cell>
          <cell r="W117" t="str">
            <v>N/A</v>
          </cell>
          <cell r="X117" t="str">
            <v>N/A</v>
          </cell>
          <cell r="Y117" t="str">
            <v>N/A</v>
          </cell>
          <cell r="Z117" t="str">
            <v>N/A</v>
          </cell>
          <cell r="AA117" t="str">
            <v>N/A</v>
          </cell>
          <cell r="AB117">
            <v>40178</v>
          </cell>
          <cell r="AC117">
            <v>42369</v>
          </cell>
        </row>
        <row r="118">
          <cell r="D118" t="str">
            <v/>
          </cell>
          <cell r="O118" t="str">
            <v>1-Year PTP with Secure Cap</v>
          </cell>
          <cell r="P118" t="str">
            <v>1-Year PTP with Secure Cap, Dimensional US Foundations (DFA)</v>
          </cell>
          <cell r="Q118" t="str">
            <v>DFAUSFDS</v>
          </cell>
          <cell r="R118" t="str">
            <v>1SC</v>
          </cell>
          <cell r="S118" t="str">
            <v>DFAUSFDS1SC</v>
          </cell>
          <cell r="T118" t="str">
            <v>N/A</v>
          </cell>
          <cell r="U118" t="str">
            <v>N/A</v>
          </cell>
          <cell r="V118" t="str">
            <v>N/A</v>
          </cell>
          <cell r="W118" t="str">
            <v>N/A</v>
          </cell>
          <cell r="X118" t="str">
            <v>N/A</v>
          </cell>
          <cell r="Y118" t="str">
            <v>N/A</v>
          </cell>
          <cell r="Z118" t="str">
            <v>N/A</v>
          </cell>
          <cell r="AA118" t="str">
            <v>N/A</v>
          </cell>
          <cell r="AB118">
            <v>40178</v>
          </cell>
          <cell r="AC118">
            <v>42369</v>
          </cell>
        </row>
        <row r="119">
          <cell r="O119" t="str">
            <v>1-Year PTP with ParRate</v>
          </cell>
          <cell r="P119" t="str">
            <v>1-Year PTP with ParRate, Dimensional US Foundations (DFA)</v>
          </cell>
          <cell r="Q119" t="str">
            <v>DFAUSFDS</v>
          </cell>
          <cell r="R119" t="str">
            <v>1PR</v>
          </cell>
          <cell r="S119" t="str">
            <v>DFAUSFDS1PR</v>
          </cell>
          <cell r="T119" t="str">
            <v>N/A</v>
          </cell>
          <cell r="U119" t="str">
            <v>N/A</v>
          </cell>
          <cell r="V119" t="str">
            <v>N/A</v>
          </cell>
          <cell r="W119" t="str">
            <v>N/A</v>
          </cell>
          <cell r="X119" t="str">
            <v>N/A</v>
          </cell>
          <cell r="Y119" t="str">
            <v>N/A</v>
          </cell>
          <cell r="Z119" t="str">
            <v>N/A</v>
          </cell>
          <cell r="AA119" t="str">
            <v>N/A</v>
          </cell>
          <cell r="AB119">
            <v>40178</v>
          </cell>
          <cell r="AC119">
            <v>42369</v>
          </cell>
        </row>
        <row r="120">
          <cell r="O120" t="str">
            <v>1-Year PTP with Secure ParRate</v>
          </cell>
          <cell r="P120" t="str">
            <v>1-Year PTP with Secure ParRate, Dimensional US Foundations (DFA)</v>
          </cell>
          <cell r="Q120" t="str">
            <v>DFAUSFDS</v>
          </cell>
          <cell r="R120" t="str">
            <v>1SPR</v>
          </cell>
          <cell r="S120" t="str">
            <v>DFAUSFDS1SPR</v>
          </cell>
          <cell r="T120" t="str">
            <v>N/A</v>
          </cell>
          <cell r="U120" t="str">
            <v>N/A</v>
          </cell>
          <cell r="V120" t="str">
            <v>N/A</v>
          </cell>
          <cell r="W120" t="str">
            <v>N/A</v>
          </cell>
          <cell r="X120" t="str">
            <v>N/A</v>
          </cell>
          <cell r="Y120" t="str">
            <v>N/A</v>
          </cell>
          <cell r="Z120" t="str">
            <v>N/A</v>
          </cell>
          <cell r="AA120" t="str">
            <v>N/A</v>
          </cell>
          <cell r="AB120">
            <v>40178</v>
          </cell>
          <cell r="AC120">
            <v>42369</v>
          </cell>
        </row>
        <row r="121">
          <cell r="O121" t="str">
            <v>1-Year Performance-Triggered Account</v>
          </cell>
          <cell r="P121" t="str">
            <v>1-Year Performance-Triggered Account, Dimensional US Foundations (DFA)</v>
          </cell>
          <cell r="Q121" t="str">
            <v>DFAUSFDS</v>
          </cell>
          <cell r="R121" t="str">
            <v>1PT</v>
          </cell>
          <cell r="S121" t="str">
            <v>DFAUSFDS1PT</v>
          </cell>
          <cell r="T121" t="str">
            <v>N/A</v>
          </cell>
          <cell r="U121" t="str">
            <v>N/A</v>
          </cell>
          <cell r="V121" t="str">
            <v>N/A</v>
          </cell>
          <cell r="W121" t="str">
            <v>N/A</v>
          </cell>
          <cell r="X121" t="str">
            <v>N/A</v>
          </cell>
          <cell r="Y121" t="str">
            <v>N/A</v>
          </cell>
          <cell r="Z121" t="str">
            <v>N/A</v>
          </cell>
          <cell r="AA121" t="str">
            <v>N/A</v>
          </cell>
          <cell r="AB121">
            <v>40178</v>
          </cell>
          <cell r="AC121">
            <v>42369</v>
          </cell>
        </row>
        <row r="122">
          <cell r="O122" t="str">
            <v>1-Year PTP with Spread</v>
          </cell>
          <cell r="P122" t="str">
            <v>1-Year PTP with Spread, Dimensional US Foundations (DFA)</v>
          </cell>
          <cell r="Q122" t="str">
            <v>DFAUSFDS</v>
          </cell>
          <cell r="R122" t="str">
            <v>1S</v>
          </cell>
          <cell r="S122" t="str">
            <v>DFAUSFDS1S</v>
          </cell>
          <cell r="T122" t="str">
            <v>N/A</v>
          </cell>
          <cell r="U122" t="str">
            <v>N/A</v>
          </cell>
          <cell r="V122" t="str">
            <v>N/A</v>
          </cell>
          <cell r="W122" t="str">
            <v>N/A</v>
          </cell>
          <cell r="X122" t="str">
            <v>N/A</v>
          </cell>
          <cell r="Y122" t="str">
            <v>N/A</v>
          </cell>
          <cell r="Z122" t="str">
            <v>N/A</v>
          </cell>
          <cell r="AA122" t="str">
            <v>N/A</v>
          </cell>
          <cell r="AB122">
            <v>40178</v>
          </cell>
          <cell r="AC122">
            <v>42369</v>
          </cell>
        </row>
        <row r="123">
          <cell r="O123" t="str">
            <v>1-Year PTP with ParRate &amp; Cap</v>
          </cell>
          <cell r="P123" t="str">
            <v>1-Year PTP with ParRate &amp; Cap, Dimensional US Foundations (DFA)</v>
          </cell>
          <cell r="Q123" t="str">
            <v>DFAUSFDS</v>
          </cell>
          <cell r="R123" t="str">
            <v>1PRC</v>
          </cell>
          <cell r="S123" t="str">
            <v>DFAUSFDS1PRC</v>
          </cell>
          <cell r="T123" t="str">
            <v>N/A</v>
          </cell>
          <cell r="U123" t="str">
            <v>N/A</v>
          </cell>
          <cell r="V123" t="str">
            <v>N/A</v>
          </cell>
          <cell r="W123" t="str">
            <v>N/A</v>
          </cell>
          <cell r="X123" t="str">
            <v>N/A</v>
          </cell>
          <cell r="Y123" t="str">
            <v>N/A</v>
          </cell>
          <cell r="Z123" t="str">
            <v>N/A</v>
          </cell>
          <cell r="AA123" t="str">
            <v>N/A</v>
          </cell>
          <cell r="AB123">
            <v>40178</v>
          </cell>
          <cell r="AC123">
            <v>42369</v>
          </cell>
        </row>
        <row r="124">
          <cell r="O124" t="str">
            <v>1-Year PTP with ParRate &amp; Spread</v>
          </cell>
          <cell r="P124" t="str">
            <v>1-Year PTP with ParRate &amp; Spread, Dimensional US Foundations (DFA)</v>
          </cell>
          <cell r="Q124" t="str">
            <v>DFAUSFDS</v>
          </cell>
          <cell r="R124" t="str">
            <v>1PRS</v>
          </cell>
          <cell r="S124" t="str">
            <v>DFAUSFDS1PRS</v>
          </cell>
          <cell r="T124" t="str">
            <v>N/A</v>
          </cell>
          <cell r="U124" t="str">
            <v>N/A</v>
          </cell>
          <cell r="V124" t="str">
            <v>N/A</v>
          </cell>
          <cell r="W124" t="str">
            <v>N/A</v>
          </cell>
          <cell r="X124" t="str">
            <v>N/A</v>
          </cell>
          <cell r="Y124" t="str">
            <v>N/A</v>
          </cell>
          <cell r="Z124" t="str">
            <v>N/A</v>
          </cell>
          <cell r="AA124" t="str">
            <v>N/A</v>
          </cell>
          <cell r="AB124">
            <v>40178</v>
          </cell>
          <cell r="AC124">
            <v>42369</v>
          </cell>
        </row>
        <row r="125">
          <cell r="O125" t="str">
            <v>1-Year PTP with EPRS Tier 1</v>
          </cell>
          <cell r="P125" t="str">
            <v>1-Year PTP with EPRS Tier 1, Dimensional US Foundations (DFA)</v>
          </cell>
          <cell r="Q125" t="str">
            <v>DFAUSFDS</v>
          </cell>
          <cell r="R125" t="str">
            <v>1EPRST1</v>
          </cell>
          <cell r="S125" t="str">
            <v>DFAUSFDS1EPRST1</v>
          </cell>
          <cell r="T125" t="str">
            <v>N/A</v>
          </cell>
          <cell r="U125" t="str">
            <v>N/A</v>
          </cell>
          <cell r="V125" t="str">
            <v>N/A</v>
          </cell>
          <cell r="W125" t="str">
            <v>N/A</v>
          </cell>
          <cell r="X125" t="str">
            <v>N/A</v>
          </cell>
          <cell r="Y125" t="str">
            <v>N/A</v>
          </cell>
          <cell r="Z125" t="str">
            <v>N/A</v>
          </cell>
          <cell r="AA125" t="str">
            <v>N/A</v>
          </cell>
          <cell r="AB125">
            <v>40178</v>
          </cell>
          <cell r="AC125">
            <v>42369</v>
          </cell>
        </row>
        <row r="126">
          <cell r="O126" t="str">
            <v>1-Year PTP with EPRS Tier 2</v>
          </cell>
          <cell r="P126" t="str">
            <v>1-Year PTP with EPRS Tier 2, Dimensional US Foundations (DFA)</v>
          </cell>
          <cell r="Q126" t="str">
            <v>DFAUSFDS</v>
          </cell>
          <cell r="R126" t="str">
            <v>1EPRST2</v>
          </cell>
          <cell r="S126" t="str">
            <v>DFAUSFDS1EPRST2</v>
          </cell>
          <cell r="T126" t="str">
            <v>N/A</v>
          </cell>
          <cell r="U126" t="str">
            <v>N/A</v>
          </cell>
          <cell r="V126" t="str">
            <v>N/A</v>
          </cell>
          <cell r="W126" t="str">
            <v>N/A</v>
          </cell>
          <cell r="X126" t="str">
            <v>N/A</v>
          </cell>
          <cell r="Y126" t="str">
            <v>N/A</v>
          </cell>
          <cell r="Z126" t="str">
            <v>N/A</v>
          </cell>
          <cell r="AA126" t="str">
            <v>N/A</v>
          </cell>
          <cell r="AB126">
            <v>40178</v>
          </cell>
          <cell r="AC126">
            <v>42369</v>
          </cell>
        </row>
        <row r="127">
          <cell r="O127" t="str">
            <v>2-Year PTP with Cap</v>
          </cell>
          <cell r="P127" t="str">
            <v>2-Year PTP with Cap, Dimensional US Foundations (DFA)</v>
          </cell>
          <cell r="Q127" t="str">
            <v>DFAUSFDS</v>
          </cell>
          <cell r="R127" t="str">
            <v>2C</v>
          </cell>
          <cell r="S127" t="str">
            <v>DFAUSFDS2C</v>
          </cell>
          <cell r="T127" t="str">
            <v>N/A</v>
          </cell>
          <cell r="U127" t="str">
            <v>N/A</v>
          </cell>
          <cell r="V127" t="str">
            <v>N/A</v>
          </cell>
          <cell r="W127" t="str">
            <v>N/A</v>
          </cell>
          <cell r="X127" t="str">
            <v>N/A</v>
          </cell>
          <cell r="Y127" t="str">
            <v>N/A</v>
          </cell>
          <cell r="Z127" t="str">
            <v>N/A</v>
          </cell>
          <cell r="AA127" t="str">
            <v>N/A</v>
          </cell>
          <cell r="AB127">
            <v>40178</v>
          </cell>
          <cell r="AC127">
            <v>42369</v>
          </cell>
        </row>
        <row r="128">
          <cell r="O128" t="str">
            <v>2-Year PTP with ParRate</v>
          </cell>
          <cell r="P128" t="str">
            <v>2-Year PTP with ParRate, Dimensional US Foundations (DFA)</v>
          </cell>
          <cell r="Q128" t="str">
            <v>DFAUSFDS</v>
          </cell>
          <cell r="R128" t="str">
            <v>2PR</v>
          </cell>
          <cell r="S128" t="str">
            <v>DFAUSFDS2PR</v>
          </cell>
          <cell r="T128" t="str">
            <v>N/A</v>
          </cell>
          <cell r="U128" t="str">
            <v>N/A</v>
          </cell>
          <cell r="V128" t="str">
            <v>N/A</v>
          </cell>
          <cell r="W128" t="str">
            <v>N/A</v>
          </cell>
          <cell r="X128" t="str">
            <v>N/A</v>
          </cell>
          <cell r="Y128" t="str">
            <v>N/A</v>
          </cell>
          <cell r="Z128" t="str">
            <v>N/A</v>
          </cell>
          <cell r="AA128" t="str">
            <v>N/A</v>
          </cell>
          <cell r="AB128">
            <v>40178</v>
          </cell>
          <cell r="AC128">
            <v>42369</v>
          </cell>
        </row>
        <row r="129">
          <cell r="O129" t="str">
            <v>2-Year PTP with Spread</v>
          </cell>
          <cell r="P129" t="str">
            <v>2-Year PTP with Spread, Dimensional US Foundations (DFA)</v>
          </cell>
          <cell r="Q129" t="str">
            <v>DFAUSFDS</v>
          </cell>
          <cell r="R129" t="str">
            <v>2S</v>
          </cell>
          <cell r="S129" t="str">
            <v>DFAUSFDS2S</v>
          </cell>
          <cell r="T129" t="str">
            <v>N/A</v>
          </cell>
          <cell r="U129" t="str">
            <v>N/A</v>
          </cell>
          <cell r="V129" t="str">
            <v>N/A</v>
          </cell>
          <cell r="W129" t="str">
            <v>N/A</v>
          </cell>
          <cell r="X129" t="str">
            <v>N/A</v>
          </cell>
          <cell r="Y129" t="str">
            <v>N/A</v>
          </cell>
          <cell r="Z129" t="str">
            <v>N/A</v>
          </cell>
          <cell r="AA129" t="str">
            <v>N/A</v>
          </cell>
          <cell r="AB129">
            <v>40178</v>
          </cell>
          <cell r="AC129">
            <v>42369</v>
          </cell>
        </row>
        <row r="130">
          <cell r="O130" t="str">
            <v>2-Year PTP with ParRate &amp; Spread</v>
          </cell>
          <cell r="P130" t="str">
            <v>2-Year PTP with ParRate &amp; Spread, Dimensional US Foundations (DFA)</v>
          </cell>
          <cell r="Q130" t="str">
            <v>DFAUSFDS</v>
          </cell>
          <cell r="R130" t="str">
            <v>2PRS</v>
          </cell>
          <cell r="S130" t="str">
            <v>DFAUSFDS2PRS</v>
          </cell>
          <cell r="T130" t="str">
            <v>N/A</v>
          </cell>
          <cell r="U130" t="str">
            <v>N/A</v>
          </cell>
          <cell r="V130" t="str">
            <v>N/A</v>
          </cell>
          <cell r="W130" t="str">
            <v>N/A</v>
          </cell>
          <cell r="X130" t="str">
            <v>N/A</v>
          </cell>
          <cell r="Y130" t="str">
            <v>N/A</v>
          </cell>
          <cell r="Z130" t="str">
            <v>N/A</v>
          </cell>
          <cell r="AA130" t="str">
            <v>N/A</v>
          </cell>
          <cell r="AB130">
            <v>40178</v>
          </cell>
          <cell r="AC130">
            <v>42369</v>
          </cell>
        </row>
        <row r="131">
          <cell r="O131" t="str">
            <v>2-Year PTP with EPRS Tier 1</v>
          </cell>
          <cell r="P131" t="str">
            <v>2-Year PTP with EPRS Tier 1, Dimensional US Foundations (DFA)</v>
          </cell>
          <cell r="Q131" t="str">
            <v>DFAUSFDS</v>
          </cell>
          <cell r="R131" t="str">
            <v>2EPRST1</v>
          </cell>
          <cell r="S131" t="str">
            <v>DFAUSFDS2EPRST1</v>
          </cell>
          <cell r="T131" t="str">
            <v>N/A</v>
          </cell>
          <cell r="U131" t="str">
            <v>N/A</v>
          </cell>
          <cell r="V131" t="str">
            <v>N/A</v>
          </cell>
          <cell r="W131" t="str">
            <v>N/A</v>
          </cell>
          <cell r="X131" t="str">
            <v>N/A</v>
          </cell>
          <cell r="Y131" t="str">
            <v>N/A</v>
          </cell>
          <cell r="Z131" t="str">
            <v>N/A</v>
          </cell>
          <cell r="AA131" t="str">
            <v>N/A</v>
          </cell>
          <cell r="AB131">
            <v>40178</v>
          </cell>
          <cell r="AC131">
            <v>42369</v>
          </cell>
        </row>
        <row r="132">
          <cell r="O132" t="str">
            <v>2-Year PTP with EPRS Tier 2</v>
          </cell>
          <cell r="P132" t="str">
            <v>2-Year PTP with EPRS Tier 2, Dimensional US Foundations (DFA)</v>
          </cell>
          <cell r="Q132" t="str">
            <v>DFAUSFDS</v>
          </cell>
          <cell r="R132" t="str">
            <v>2EPRST2</v>
          </cell>
          <cell r="S132" t="str">
            <v>DFAUSFDS2EPRST2</v>
          </cell>
          <cell r="T132" t="str">
            <v>N/A</v>
          </cell>
          <cell r="U132" t="str">
            <v>N/A</v>
          </cell>
          <cell r="V132" t="str">
            <v>N/A</v>
          </cell>
          <cell r="W132" t="str">
            <v>N/A</v>
          </cell>
          <cell r="X132" t="str">
            <v>N/A</v>
          </cell>
          <cell r="Y132" t="str">
            <v>N/A</v>
          </cell>
          <cell r="Z132" t="str">
            <v>N/A</v>
          </cell>
          <cell r="AA132" t="str">
            <v>N/A</v>
          </cell>
          <cell r="AB132">
            <v>40178</v>
          </cell>
          <cell r="AC132">
            <v>42369</v>
          </cell>
        </row>
        <row r="133">
          <cell r="O133" t="str">
            <v>5-Year PTP with Cap</v>
          </cell>
          <cell r="P133" t="str">
            <v>5-Year PTP with Cap, Dimensional US Foundations (DFA)</v>
          </cell>
          <cell r="Q133" t="str">
            <v>DFAUSFDS</v>
          </cell>
          <cell r="R133" t="str">
            <v>5C</v>
          </cell>
          <cell r="S133" t="str">
            <v>DFAUSFDS5C</v>
          </cell>
          <cell r="T133" t="str">
            <v>N/A</v>
          </cell>
          <cell r="U133" t="str">
            <v>N/A</v>
          </cell>
          <cell r="V133" t="str">
            <v>N/A</v>
          </cell>
          <cell r="W133" t="str">
            <v>N/A</v>
          </cell>
          <cell r="X133" t="str">
            <v>N/A</v>
          </cell>
          <cell r="Y133" t="str">
            <v>N/A</v>
          </cell>
          <cell r="Z133" t="str">
            <v>N/A</v>
          </cell>
          <cell r="AA133" t="str">
            <v>N/A</v>
          </cell>
          <cell r="AB133">
            <v>40178</v>
          </cell>
          <cell r="AC133">
            <v>42369</v>
          </cell>
        </row>
        <row r="134">
          <cell r="N134" t="str">
            <v>MSCI</v>
          </cell>
          <cell r="O134" t="str">
            <v>1-Year PTP with Cap</v>
          </cell>
          <cell r="P134" t="str">
            <v>1-Year PTP with Cap, MSCI</v>
          </cell>
          <cell r="Q134" t="str">
            <v>EAFE</v>
          </cell>
          <cell r="R134" t="str">
            <v>1C</v>
          </cell>
          <cell r="S134" t="str">
            <v>EAFE1C</v>
          </cell>
          <cell r="T134" t="str">
            <v>N/A</v>
          </cell>
          <cell r="U134" t="str">
            <v>N/A</v>
          </cell>
          <cell r="V134">
            <v>9.5000000000000001E-2</v>
          </cell>
          <cell r="W134" t="str">
            <v>N/A</v>
          </cell>
          <cell r="X134" t="str">
            <v>N/A</v>
          </cell>
          <cell r="Y134" t="str">
            <v>N/A</v>
          </cell>
          <cell r="Z134">
            <v>0</v>
          </cell>
          <cell r="AA134">
            <v>0</v>
          </cell>
          <cell r="AB134">
            <v>42369</v>
          </cell>
          <cell r="AC134">
            <v>39082</v>
          </cell>
        </row>
        <row r="135">
          <cell r="O135" t="str">
            <v>1-Year PTP with Secure Cap</v>
          </cell>
          <cell r="P135" t="str">
            <v>1-Year PTP with Secure Cap, MSCI</v>
          </cell>
          <cell r="Q135" t="str">
            <v>EAFE</v>
          </cell>
          <cell r="R135" t="str">
            <v>1SC</v>
          </cell>
          <cell r="S135" t="str">
            <v>EAFE1SC</v>
          </cell>
          <cell r="T135" t="str">
            <v>N/A</v>
          </cell>
          <cell r="U135" t="str">
            <v>N/A</v>
          </cell>
          <cell r="V135" t="str">
            <v>N/A</v>
          </cell>
          <cell r="W135" t="str">
            <v>N/A</v>
          </cell>
          <cell r="X135" t="str">
            <v>N/A</v>
          </cell>
          <cell r="Y135" t="str">
            <v>N/A</v>
          </cell>
          <cell r="Z135" t="str">
            <v>N/A</v>
          </cell>
          <cell r="AA135" t="str">
            <v>N/A</v>
          </cell>
          <cell r="AB135">
            <v>42369</v>
          </cell>
          <cell r="AC135">
            <v>39082</v>
          </cell>
        </row>
        <row r="136">
          <cell r="O136" t="str">
            <v>1-Year PTP with ParRate</v>
          </cell>
          <cell r="P136" t="str">
            <v>1-Year PTP with ParRate, MSCI</v>
          </cell>
          <cell r="Q136" t="str">
            <v>EAFE</v>
          </cell>
          <cell r="R136" t="str">
            <v>1PR</v>
          </cell>
          <cell r="S136" t="str">
            <v>EAFE1PR</v>
          </cell>
          <cell r="T136" t="str">
            <v>N/A</v>
          </cell>
          <cell r="U136" t="str">
            <v>N/A</v>
          </cell>
          <cell r="V136" t="str">
            <v>N/A</v>
          </cell>
          <cell r="W136" t="str">
            <v>N/A</v>
          </cell>
          <cell r="X136" t="str">
            <v>N/A</v>
          </cell>
          <cell r="Y136" t="str">
            <v>N/A</v>
          </cell>
          <cell r="Z136" t="str">
            <v>N/A</v>
          </cell>
          <cell r="AA136" t="str">
            <v>N/A</v>
          </cell>
          <cell r="AB136">
            <v>42369</v>
          </cell>
          <cell r="AC136">
            <v>39082</v>
          </cell>
        </row>
        <row r="137">
          <cell r="O137" t="str">
            <v>1-Year PTP with Secure ParRate</v>
          </cell>
          <cell r="P137" t="str">
            <v>1-Year PTP with Secure ParRate, MSCI</v>
          </cell>
          <cell r="Q137" t="str">
            <v>EAFE</v>
          </cell>
          <cell r="R137" t="str">
            <v>1SPR</v>
          </cell>
          <cell r="S137" t="str">
            <v>EAFE1SPR</v>
          </cell>
          <cell r="T137" t="str">
            <v>N/A</v>
          </cell>
          <cell r="U137" t="str">
            <v>N/A</v>
          </cell>
          <cell r="V137" t="str">
            <v>N/A</v>
          </cell>
          <cell r="W137" t="str">
            <v>N/A</v>
          </cell>
          <cell r="X137" t="str">
            <v>N/A</v>
          </cell>
          <cell r="Y137" t="str">
            <v>N/A</v>
          </cell>
          <cell r="Z137" t="str">
            <v>N/A</v>
          </cell>
          <cell r="AA137" t="str">
            <v>N/A</v>
          </cell>
          <cell r="AB137">
            <v>42369</v>
          </cell>
          <cell r="AC137">
            <v>39082</v>
          </cell>
        </row>
        <row r="138">
          <cell r="O138" t="str">
            <v>1-Year Performance-Triggered Account</v>
          </cell>
          <cell r="P138" t="str">
            <v>1-Year Performance-Triggered Account, MSCI</v>
          </cell>
          <cell r="Q138" t="str">
            <v>EAFE</v>
          </cell>
          <cell r="R138" t="str">
            <v>1PT</v>
          </cell>
          <cell r="S138" t="str">
            <v>EAFE1PT</v>
          </cell>
          <cell r="T138" t="str">
            <v>N/A</v>
          </cell>
          <cell r="U138" t="str">
            <v>N/A</v>
          </cell>
          <cell r="V138" t="str">
            <v>N/A</v>
          </cell>
          <cell r="W138" t="str">
            <v>N/A</v>
          </cell>
          <cell r="X138" t="str">
            <v>N/A</v>
          </cell>
          <cell r="Y138" t="str">
            <v>N/A</v>
          </cell>
          <cell r="Z138" t="str">
            <v>N/A</v>
          </cell>
          <cell r="AA138" t="str">
            <v>N/A</v>
          </cell>
          <cell r="AB138">
            <v>42369</v>
          </cell>
          <cell r="AC138">
            <v>39082</v>
          </cell>
        </row>
        <row r="139">
          <cell r="O139" t="str">
            <v>1-Year PTP with Spread</v>
          </cell>
          <cell r="P139" t="str">
            <v>1-Year PTP with Spread, MSCI</v>
          </cell>
          <cell r="Q139" t="str">
            <v>EAFE</v>
          </cell>
          <cell r="R139" t="str">
            <v>1S</v>
          </cell>
          <cell r="S139" t="str">
            <v>EAFE1S</v>
          </cell>
          <cell r="T139" t="str">
            <v>N/A</v>
          </cell>
          <cell r="U139" t="str">
            <v>N/A</v>
          </cell>
          <cell r="V139" t="str">
            <v>N/A</v>
          </cell>
          <cell r="W139" t="str">
            <v>N/A</v>
          </cell>
          <cell r="X139" t="str">
            <v>N/A</v>
          </cell>
          <cell r="Y139" t="str">
            <v>N/A</v>
          </cell>
          <cell r="Z139" t="str">
            <v>N/A</v>
          </cell>
          <cell r="AA139" t="str">
            <v>N/A</v>
          </cell>
          <cell r="AB139">
            <v>42369</v>
          </cell>
          <cell r="AC139">
            <v>39082</v>
          </cell>
        </row>
        <row r="140">
          <cell r="O140" t="str">
            <v>1-Year PTP with ParRate &amp; Cap</v>
          </cell>
          <cell r="P140" t="str">
            <v>1-Year PTP with ParRate &amp; Cap, MSCI</v>
          </cell>
          <cell r="Q140" t="str">
            <v>EAFE</v>
          </cell>
          <cell r="R140" t="str">
            <v>1PRC</v>
          </cell>
          <cell r="S140" t="str">
            <v>EAFE1PRC</v>
          </cell>
          <cell r="T140" t="str">
            <v>N/A</v>
          </cell>
          <cell r="U140" t="str">
            <v>N/A</v>
          </cell>
          <cell r="V140" t="str">
            <v>N/A</v>
          </cell>
          <cell r="W140" t="str">
            <v>N/A</v>
          </cell>
          <cell r="X140" t="str">
            <v>N/A</v>
          </cell>
          <cell r="Y140" t="str">
            <v>N/A</v>
          </cell>
          <cell r="Z140" t="str">
            <v>N/A</v>
          </cell>
          <cell r="AA140" t="str">
            <v>N/A</v>
          </cell>
          <cell r="AB140">
            <v>42369</v>
          </cell>
          <cell r="AC140">
            <v>39082</v>
          </cell>
        </row>
        <row r="141">
          <cell r="O141" t="str">
            <v>1-Year PTP with ParRate &amp; Spread</v>
          </cell>
          <cell r="P141" t="str">
            <v>1-Year PTP with ParRate &amp; Spread, MSCI</v>
          </cell>
          <cell r="Q141" t="str">
            <v>EAFE</v>
          </cell>
          <cell r="R141" t="str">
            <v>1PRS</v>
          </cell>
          <cell r="S141" t="str">
            <v>EAFE1PRS</v>
          </cell>
          <cell r="T141" t="str">
            <v>N/A</v>
          </cell>
          <cell r="U141" t="str">
            <v>N/A</v>
          </cell>
          <cell r="V141" t="str">
            <v>N/A</v>
          </cell>
          <cell r="W141" t="str">
            <v>N/A</v>
          </cell>
          <cell r="X141" t="str">
            <v>N/A</v>
          </cell>
          <cell r="Y141" t="str">
            <v>N/A</v>
          </cell>
          <cell r="Z141" t="str">
            <v>N/A</v>
          </cell>
          <cell r="AA141" t="str">
            <v>N/A</v>
          </cell>
          <cell r="AB141">
            <v>42369</v>
          </cell>
          <cell r="AC141">
            <v>39082</v>
          </cell>
        </row>
        <row r="142">
          <cell r="O142" t="str">
            <v>1-Year PTP with EPRS Tier 1</v>
          </cell>
          <cell r="P142" t="str">
            <v>1-Year PTP with EPRS Tier 1, MSCI</v>
          </cell>
          <cell r="Q142" t="str">
            <v>EAFE</v>
          </cell>
          <cell r="R142" t="str">
            <v>1EPRST1</v>
          </cell>
          <cell r="S142" t="str">
            <v>EAFE1EPRST1</v>
          </cell>
          <cell r="T142" t="str">
            <v>N/A</v>
          </cell>
          <cell r="U142" t="str">
            <v>N/A</v>
          </cell>
          <cell r="V142" t="str">
            <v>N/A</v>
          </cell>
          <cell r="W142" t="str">
            <v>N/A</v>
          </cell>
          <cell r="X142" t="str">
            <v>N/A</v>
          </cell>
          <cell r="Y142" t="str">
            <v>N/A</v>
          </cell>
          <cell r="Z142" t="str">
            <v>N/A</v>
          </cell>
          <cell r="AA142" t="str">
            <v>N/A</v>
          </cell>
          <cell r="AB142">
            <v>42369</v>
          </cell>
          <cell r="AC142">
            <v>39082</v>
          </cell>
        </row>
        <row r="143">
          <cell r="O143" t="str">
            <v>1-Year PTP with EPRS Tier 2</v>
          </cell>
          <cell r="P143" t="str">
            <v>1-Year PTP with EPRS Tier 2, MSCI</v>
          </cell>
          <cell r="Q143" t="str">
            <v>EAFE</v>
          </cell>
          <cell r="R143" t="str">
            <v>1EPRST2</v>
          </cell>
          <cell r="S143" t="str">
            <v>EAFE1EPRST2</v>
          </cell>
          <cell r="T143" t="str">
            <v>N/A</v>
          </cell>
          <cell r="U143" t="str">
            <v>N/A</v>
          </cell>
          <cell r="V143" t="str">
            <v>N/A</v>
          </cell>
          <cell r="W143" t="str">
            <v>N/A</v>
          </cell>
          <cell r="X143" t="str">
            <v>N/A</v>
          </cell>
          <cell r="Y143" t="str">
            <v>N/A</v>
          </cell>
          <cell r="Z143" t="str">
            <v>N/A</v>
          </cell>
          <cell r="AA143" t="str">
            <v>N/A</v>
          </cell>
          <cell r="AB143">
            <v>42369</v>
          </cell>
          <cell r="AC143">
            <v>39082</v>
          </cell>
        </row>
        <row r="144">
          <cell r="O144" t="str">
            <v>2-Year PTP with Cap</v>
          </cell>
          <cell r="P144" t="str">
            <v>2-Year PTP with Cap, MSCI</v>
          </cell>
          <cell r="Q144" t="str">
            <v>EAFE</v>
          </cell>
          <cell r="R144" t="str">
            <v>2C</v>
          </cell>
          <cell r="S144" t="str">
            <v>EAFE2C</v>
          </cell>
          <cell r="T144" t="str">
            <v>N/A</v>
          </cell>
          <cell r="U144" t="str">
            <v>N/A</v>
          </cell>
          <cell r="V144" t="str">
            <v>N/A</v>
          </cell>
          <cell r="W144" t="str">
            <v>N/A</v>
          </cell>
          <cell r="X144" t="str">
            <v>N/A</v>
          </cell>
          <cell r="Y144" t="str">
            <v>N/A</v>
          </cell>
          <cell r="Z144" t="str">
            <v>N/A</v>
          </cell>
          <cell r="AA144" t="str">
            <v>N/A</v>
          </cell>
          <cell r="AB144">
            <v>42369</v>
          </cell>
          <cell r="AC144">
            <v>39082</v>
          </cell>
        </row>
        <row r="145">
          <cell r="O145" t="str">
            <v>2-Year PTP with ParRate</v>
          </cell>
          <cell r="P145" t="str">
            <v>2-Year PTP with ParRate, MSCI</v>
          </cell>
          <cell r="Q145" t="str">
            <v>EAFE</v>
          </cell>
          <cell r="R145" t="str">
            <v>2PR</v>
          </cell>
          <cell r="S145" t="str">
            <v>EAFE2PR</v>
          </cell>
          <cell r="T145" t="str">
            <v>N/A</v>
          </cell>
          <cell r="U145" t="str">
            <v>N/A</v>
          </cell>
          <cell r="V145" t="str">
            <v>N/A</v>
          </cell>
          <cell r="W145" t="str">
            <v>N/A</v>
          </cell>
          <cell r="X145" t="str">
            <v>N/A</v>
          </cell>
          <cell r="Y145" t="str">
            <v>N/A</v>
          </cell>
          <cell r="Z145" t="str">
            <v>N/A</v>
          </cell>
          <cell r="AA145" t="str">
            <v>N/A</v>
          </cell>
          <cell r="AB145">
            <v>42369</v>
          </cell>
          <cell r="AC145">
            <v>39082</v>
          </cell>
        </row>
        <row r="146">
          <cell r="O146" t="str">
            <v>2-Year PTP with Spread</v>
          </cell>
          <cell r="P146" t="str">
            <v>2-Year PTP with Spread, MSCI</v>
          </cell>
          <cell r="Q146" t="str">
            <v>EAFE</v>
          </cell>
          <cell r="R146" t="str">
            <v>2S</v>
          </cell>
          <cell r="S146" t="str">
            <v>EAFE2S</v>
          </cell>
          <cell r="T146" t="str">
            <v>N/A</v>
          </cell>
          <cell r="U146" t="str">
            <v>N/A</v>
          </cell>
          <cell r="V146" t="str">
            <v>N/A</v>
          </cell>
          <cell r="W146" t="str">
            <v>N/A</v>
          </cell>
          <cell r="X146" t="str">
            <v>N/A</v>
          </cell>
          <cell r="Y146" t="str">
            <v>N/A</v>
          </cell>
          <cell r="Z146" t="str">
            <v>N/A</v>
          </cell>
          <cell r="AA146" t="str">
            <v>N/A</v>
          </cell>
          <cell r="AB146">
            <v>42369</v>
          </cell>
          <cell r="AC146">
            <v>39082</v>
          </cell>
        </row>
        <row r="147">
          <cell r="O147" t="str">
            <v>2-Year PTP with ParRate &amp; Spread</v>
          </cell>
          <cell r="P147" t="str">
            <v>2-Year PTP with ParRate &amp; Spread, MSCI</v>
          </cell>
          <cell r="Q147" t="str">
            <v>EAFE</v>
          </cell>
          <cell r="R147" t="str">
            <v>2PRS</v>
          </cell>
          <cell r="S147" t="str">
            <v>EAFE2PRS</v>
          </cell>
          <cell r="T147" t="str">
            <v>N/A</v>
          </cell>
          <cell r="U147" t="str">
            <v>N/A</v>
          </cell>
          <cell r="V147" t="str">
            <v>N/A</v>
          </cell>
          <cell r="W147" t="str">
            <v>N/A</v>
          </cell>
          <cell r="X147" t="str">
            <v>N/A</v>
          </cell>
          <cell r="Y147" t="str">
            <v>N/A</v>
          </cell>
          <cell r="Z147" t="str">
            <v>N/A</v>
          </cell>
          <cell r="AA147" t="str">
            <v>N/A</v>
          </cell>
          <cell r="AB147">
            <v>42369</v>
          </cell>
          <cell r="AC147">
            <v>39082</v>
          </cell>
        </row>
        <row r="148">
          <cell r="O148" t="str">
            <v>2-Year PTP with EPRS Tier 1</v>
          </cell>
          <cell r="P148" t="str">
            <v>2-Year PTP with EPRS Tier 1, MSCI</v>
          </cell>
          <cell r="Q148" t="str">
            <v>EAFE</v>
          </cell>
          <cell r="R148" t="str">
            <v>2EPRST1</v>
          </cell>
          <cell r="S148" t="str">
            <v>EAFE2EPRST1</v>
          </cell>
          <cell r="T148" t="str">
            <v>N/A</v>
          </cell>
          <cell r="U148" t="str">
            <v>N/A</v>
          </cell>
          <cell r="V148" t="str">
            <v>N/A</v>
          </cell>
          <cell r="W148" t="str">
            <v>N/A</v>
          </cell>
          <cell r="X148" t="str">
            <v>N/A</v>
          </cell>
          <cell r="Y148" t="str">
            <v>N/A</v>
          </cell>
          <cell r="Z148" t="str">
            <v>N/A</v>
          </cell>
          <cell r="AA148" t="str">
            <v>N/A</v>
          </cell>
          <cell r="AB148">
            <v>42369</v>
          </cell>
          <cell r="AC148">
            <v>39082</v>
          </cell>
        </row>
        <row r="149">
          <cell r="O149" t="str">
            <v>2-Year PTP with EPRS Tier 2</v>
          </cell>
          <cell r="P149" t="str">
            <v>2-Year PTP with EPRS Tier 2, MSCI</v>
          </cell>
          <cell r="Q149" t="str">
            <v>EAFE</v>
          </cell>
          <cell r="R149" t="str">
            <v>2EPRST2</v>
          </cell>
          <cell r="S149" t="str">
            <v>EAFE2EPRST2</v>
          </cell>
          <cell r="T149" t="str">
            <v>N/A</v>
          </cell>
          <cell r="U149" t="str">
            <v>N/A</v>
          </cell>
          <cell r="V149" t="str">
            <v>N/A</v>
          </cell>
          <cell r="W149" t="str">
            <v>N/A</v>
          </cell>
          <cell r="X149" t="str">
            <v>N/A</v>
          </cell>
          <cell r="Y149" t="str">
            <v>N/A</v>
          </cell>
          <cell r="Z149" t="str">
            <v>N/A</v>
          </cell>
          <cell r="AA149" t="str">
            <v>N/A</v>
          </cell>
          <cell r="AB149">
            <v>42369</v>
          </cell>
          <cell r="AC149">
            <v>39082</v>
          </cell>
        </row>
        <row r="150">
          <cell r="O150" t="str">
            <v>5-Year PTP with Cap</v>
          </cell>
          <cell r="P150" t="str">
            <v>5-Year PTP with Cap, MSCI</v>
          </cell>
          <cell r="Q150" t="str">
            <v>EAFE</v>
          </cell>
          <cell r="R150" t="str">
            <v>5C</v>
          </cell>
          <cell r="S150" t="str">
            <v>EAFE5C</v>
          </cell>
          <cell r="T150" t="str">
            <v>N/A</v>
          </cell>
          <cell r="U150" t="str">
            <v>N/A</v>
          </cell>
          <cell r="V150" t="str">
            <v>N/A</v>
          </cell>
          <cell r="W150" t="str">
            <v>N/A</v>
          </cell>
          <cell r="X150" t="str">
            <v>N/A</v>
          </cell>
          <cell r="Y150" t="str">
            <v>N/A</v>
          </cell>
          <cell r="Z150" t="str">
            <v>N/A</v>
          </cell>
          <cell r="AA150" t="str">
            <v>N/A</v>
          </cell>
          <cell r="AB150">
            <v>42369</v>
          </cell>
          <cell r="AC150">
            <v>39082</v>
          </cell>
        </row>
        <row r="151">
          <cell r="N151" t="str">
            <v>Franklin</v>
          </cell>
          <cell r="O151" t="str">
            <v>1-Year PTP with Cap</v>
          </cell>
          <cell r="P151" t="str">
            <v>1-Year PTP with Cap, Franklin</v>
          </cell>
          <cell r="Q151" t="str">
            <v>FQD</v>
          </cell>
          <cell r="R151" t="str">
            <v>1C</v>
          </cell>
          <cell r="S151" t="str">
            <v>FQD1C</v>
          </cell>
          <cell r="T151" t="str">
            <v>N/A</v>
          </cell>
          <cell r="U151" t="str">
            <v>N/A</v>
          </cell>
          <cell r="V151" t="str">
            <v>N/A</v>
          </cell>
          <cell r="W151" t="str">
            <v>N/A</v>
          </cell>
          <cell r="X151" t="str">
            <v>N/A</v>
          </cell>
          <cell r="Y151" t="str">
            <v>N/A</v>
          </cell>
          <cell r="Z151" t="str">
            <v>N/A</v>
          </cell>
          <cell r="AA151" t="str">
            <v>N/A</v>
          </cell>
          <cell r="AB151">
            <v>40908</v>
          </cell>
          <cell r="AC151">
            <v>39082</v>
          </cell>
        </row>
        <row r="152">
          <cell r="O152" t="str">
            <v>1-Year PTP with Secure Cap</v>
          </cell>
          <cell r="P152" t="str">
            <v>1-Year PTP with Secure Cap, Franklin</v>
          </cell>
          <cell r="Q152" t="str">
            <v>FQD</v>
          </cell>
          <cell r="R152" t="str">
            <v>1SC</v>
          </cell>
          <cell r="S152" t="str">
            <v>FQD1SC</v>
          </cell>
          <cell r="T152" t="str">
            <v>N/A</v>
          </cell>
          <cell r="U152" t="str">
            <v>N/A</v>
          </cell>
          <cell r="V152" t="str">
            <v>N/A</v>
          </cell>
          <cell r="W152" t="str">
            <v>N/A</v>
          </cell>
          <cell r="X152" t="str">
            <v>N/A</v>
          </cell>
          <cell r="Y152" t="str">
            <v>N/A</v>
          </cell>
          <cell r="Z152" t="str">
            <v>N/A</v>
          </cell>
          <cell r="AA152" t="str">
            <v>N/A</v>
          </cell>
          <cell r="AB152">
            <v>40908</v>
          </cell>
          <cell r="AC152">
            <v>39082</v>
          </cell>
        </row>
        <row r="153">
          <cell r="O153" t="str">
            <v>1-Year PTP with ParRate</v>
          </cell>
          <cell r="P153" t="str">
            <v>1-Year PTP with ParRate, Franklin</v>
          </cell>
          <cell r="Q153" t="str">
            <v>FQD</v>
          </cell>
          <cell r="R153" t="str">
            <v>1PR</v>
          </cell>
          <cell r="S153" t="str">
            <v>FQD1PR</v>
          </cell>
          <cell r="T153" t="str">
            <v>N/A</v>
          </cell>
          <cell r="U153" t="str">
            <v>N/A</v>
          </cell>
          <cell r="V153" t="str">
            <v>N/A</v>
          </cell>
          <cell r="W153" t="str">
            <v>N/A</v>
          </cell>
          <cell r="X153" t="str">
            <v>N/A</v>
          </cell>
          <cell r="Y153" t="str">
            <v>N/A</v>
          </cell>
          <cell r="Z153" t="str">
            <v>N/A</v>
          </cell>
          <cell r="AA153" t="str">
            <v>N/A</v>
          </cell>
          <cell r="AB153">
            <v>40908</v>
          </cell>
          <cell r="AC153">
            <v>39082</v>
          </cell>
        </row>
        <row r="154">
          <cell r="O154" t="str">
            <v>1-Year PTP with Secure ParRate</v>
          </cell>
          <cell r="P154" t="str">
            <v>1-Year PTP with Secure ParRate, Franklin</v>
          </cell>
          <cell r="Q154" t="str">
            <v>FQD</v>
          </cell>
          <cell r="R154" t="str">
            <v>1SPR</v>
          </cell>
          <cell r="S154" t="str">
            <v>FQD1SPR</v>
          </cell>
          <cell r="T154" t="str">
            <v>N/A</v>
          </cell>
          <cell r="U154" t="str">
            <v>N/A</v>
          </cell>
          <cell r="V154" t="str">
            <v>N/A</v>
          </cell>
          <cell r="W154" t="str">
            <v>N/A</v>
          </cell>
          <cell r="X154" t="str">
            <v>N/A</v>
          </cell>
          <cell r="Y154" t="str">
            <v>N/A</v>
          </cell>
          <cell r="Z154" t="str">
            <v>N/A</v>
          </cell>
          <cell r="AA154" t="str">
            <v>N/A</v>
          </cell>
          <cell r="AB154">
            <v>40908</v>
          </cell>
          <cell r="AC154">
            <v>39082</v>
          </cell>
        </row>
        <row r="155">
          <cell r="O155" t="str">
            <v>1-Year Performance-Triggered Account</v>
          </cell>
          <cell r="P155" t="str">
            <v>1-Year Performance-Triggered Account, Franklin</v>
          </cell>
          <cell r="Q155" t="str">
            <v>FQD</v>
          </cell>
          <cell r="R155" t="str">
            <v>1PT</v>
          </cell>
          <cell r="S155" t="str">
            <v>FQD1PT</v>
          </cell>
          <cell r="T155" t="str">
            <v>N/A</v>
          </cell>
          <cell r="U155" t="str">
            <v>N/A</v>
          </cell>
          <cell r="V155" t="str">
            <v>N/A</v>
          </cell>
          <cell r="W155" t="str">
            <v>N/A</v>
          </cell>
          <cell r="X155" t="str">
            <v>N/A</v>
          </cell>
          <cell r="Y155" t="str">
            <v>N/A</v>
          </cell>
          <cell r="Z155" t="str">
            <v>N/A</v>
          </cell>
          <cell r="AA155" t="str">
            <v>N/A</v>
          </cell>
          <cell r="AB155">
            <v>40908</v>
          </cell>
          <cell r="AC155">
            <v>39082</v>
          </cell>
        </row>
        <row r="156">
          <cell r="O156" t="str">
            <v>1-Year PTP with Spread</v>
          </cell>
          <cell r="P156" t="str">
            <v>1-Year PTP with Spread, Franklin</v>
          </cell>
          <cell r="Q156" t="str">
            <v>FQD</v>
          </cell>
          <cell r="R156" t="str">
            <v>1S</v>
          </cell>
          <cell r="S156" t="str">
            <v>FQD1S</v>
          </cell>
          <cell r="T156" t="str">
            <v>N/A</v>
          </cell>
          <cell r="U156" t="str">
            <v>N/A</v>
          </cell>
          <cell r="V156" t="str">
            <v>N/A</v>
          </cell>
          <cell r="W156" t="str">
            <v>N/A</v>
          </cell>
          <cell r="X156" t="str">
            <v>N/A</v>
          </cell>
          <cell r="Y156" t="str">
            <v>N/A</v>
          </cell>
          <cell r="Z156" t="str">
            <v>N/A</v>
          </cell>
          <cell r="AA156" t="str">
            <v>N/A</v>
          </cell>
          <cell r="AB156">
            <v>40908</v>
          </cell>
          <cell r="AC156">
            <v>39082</v>
          </cell>
        </row>
        <row r="157">
          <cell r="O157" t="str">
            <v>1-Year PTP with ParRate &amp; Cap</v>
          </cell>
          <cell r="P157" t="str">
            <v>1-Year PTP with ParRate &amp; Cap, Franklin</v>
          </cell>
          <cell r="Q157" t="str">
            <v>FQD</v>
          </cell>
          <cell r="R157" t="str">
            <v>1PRC</v>
          </cell>
          <cell r="S157" t="str">
            <v>FQD1PRC</v>
          </cell>
          <cell r="T157" t="str">
            <v>N/A</v>
          </cell>
          <cell r="U157" t="str">
            <v>N/A</v>
          </cell>
          <cell r="V157" t="str">
            <v>N/A</v>
          </cell>
          <cell r="W157" t="str">
            <v>N/A</v>
          </cell>
          <cell r="X157" t="str">
            <v>N/A</v>
          </cell>
          <cell r="Y157" t="str">
            <v>N/A</v>
          </cell>
          <cell r="Z157" t="str">
            <v>N/A</v>
          </cell>
          <cell r="AA157" t="str">
            <v>N/A</v>
          </cell>
          <cell r="AB157">
            <v>40908</v>
          </cell>
          <cell r="AC157">
            <v>39082</v>
          </cell>
        </row>
        <row r="158">
          <cell r="O158" t="str">
            <v>1-Year PTP with ParRate &amp; Spread</v>
          </cell>
          <cell r="P158" t="str">
            <v>1-Year PTP with ParRate &amp; Spread, Franklin</v>
          </cell>
          <cell r="Q158" t="str">
            <v>FQD</v>
          </cell>
          <cell r="R158" t="str">
            <v>1PRS</v>
          </cell>
          <cell r="S158" t="str">
            <v>FQD1PRS</v>
          </cell>
          <cell r="T158" t="str">
            <v>N/A</v>
          </cell>
          <cell r="U158" t="str">
            <v>N/A</v>
          </cell>
          <cell r="V158" t="str">
            <v>N/A</v>
          </cell>
          <cell r="W158" t="str">
            <v>N/A</v>
          </cell>
          <cell r="X158" t="str">
            <v>N/A</v>
          </cell>
          <cell r="Y158" t="str">
            <v>N/A</v>
          </cell>
          <cell r="Z158" t="str">
            <v>N/A</v>
          </cell>
          <cell r="AA158" t="str">
            <v>N/A</v>
          </cell>
          <cell r="AB158">
            <v>40908</v>
          </cell>
          <cell r="AC158">
            <v>39082</v>
          </cell>
        </row>
        <row r="159">
          <cell r="O159" t="str">
            <v>1-Year PTP with EPRS Tier 1</v>
          </cell>
          <cell r="P159" t="str">
            <v>1-Year PTP with EPRS Tier 1, Franklin</v>
          </cell>
          <cell r="Q159" t="str">
            <v>FQD</v>
          </cell>
          <cell r="R159" t="str">
            <v>1EPRST1</v>
          </cell>
          <cell r="S159" t="str">
            <v>FQD1EPRST1</v>
          </cell>
          <cell r="T159" t="str">
            <v>N/A</v>
          </cell>
          <cell r="U159" t="str">
            <v>N/A</v>
          </cell>
          <cell r="V159" t="str">
            <v>N/A</v>
          </cell>
          <cell r="W159" t="str">
            <v>N/A</v>
          </cell>
          <cell r="X159" t="str">
            <v>N/A</v>
          </cell>
          <cell r="Y159" t="str">
            <v>N/A</v>
          </cell>
          <cell r="Z159" t="str">
            <v>N/A</v>
          </cell>
          <cell r="AA159" t="str">
            <v>N/A</v>
          </cell>
          <cell r="AB159">
            <v>40908</v>
          </cell>
          <cell r="AC159">
            <v>39082</v>
          </cell>
        </row>
        <row r="160">
          <cell r="O160" t="str">
            <v>1-Year PTP with EPRS Tier 2</v>
          </cell>
          <cell r="P160" t="str">
            <v>1-Year PTP with EPRS Tier 2, Franklin</v>
          </cell>
          <cell r="Q160" t="str">
            <v>FQD</v>
          </cell>
          <cell r="R160" t="str">
            <v>1EPRST2</v>
          </cell>
          <cell r="S160" t="str">
            <v>FQD1EPRST2</v>
          </cell>
          <cell r="T160" t="str">
            <v>N/A</v>
          </cell>
          <cell r="U160" t="str">
            <v>N/A</v>
          </cell>
          <cell r="V160" t="str">
            <v>N/A</v>
          </cell>
          <cell r="W160" t="str">
            <v>N/A</v>
          </cell>
          <cell r="X160" t="str">
            <v>N/A</v>
          </cell>
          <cell r="Y160" t="str">
            <v>N/A</v>
          </cell>
          <cell r="Z160" t="str">
            <v>N/A</v>
          </cell>
          <cell r="AA160" t="str">
            <v>N/A</v>
          </cell>
          <cell r="AB160">
            <v>40908</v>
          </cell>
          <cell r="AC160">
            <v>39082</v>
          </cell>
        </row>
        <row r="161">
          <cell r="O161" t="str">
            <v>2-Year PTP with Cap</v>
          </cell>
          <cell r="P161" t="str">
            <v>2-Year PTP with Cap, Franklin</v>
          </cell>
          <cell r="Q161" t="str">
            <v>FQD</v>
          </cell>
          <cell r="R161" t="str">
            <v>2C</v>
          </cell>
          <cell r="S161" t="str">
            <v>FQD2C</v>
          </cell>
          <cell r="T161" t="str">
            <v>N/A</v>
          </cell>
          <cell r="U161" t="str">
            <v>N/A</v>
          </cell>
          <cell r="V161" t="str">
            <v>N/A</v>
          </cell>
          <cell r="W161" t="str">
            <v>N/A</v>
          </cell>
          <cell r="X161" t="str">
            <v>N/A</v>
          </cell>
          <cell r="Y161" t="str">
            <v>N/A</v>
          </cell>
          <cell r="Z161" t="str">
            <v>N/A</v>
          </cell>
          <cell r="AA161" t="str">
            <v>N/A</v>
          </cell>
          <cell r="AB161">
            <v>40908</v>
          </cell>
          <cell r="AC161">
            <v>39082</v>
          </cell>
        </row>
        <row r="162">
          <cell r="O162" t="str">
            <v>2-Year PTP with ParRate</v>
          </cell>
          <cell r="P162" t="str">
            <v>2-Year PTP with ParRate, Franklin</v>
          </cell>
          <cell r="Q162" t="str">
            <v>FQD</v>
          </cell>
          <cell r="R162" t="str">
            <v>2PR</v>
          </cell>
          <cell r="S162" t="str">
            <v>FQD2PR</v>
          </cell>
          <cell r="T162" t="str">
            <v>N/A</v>
          </cell>
          <cell r="U162" t="str">
            <v>N/A</v>
          </cell>
          <cell r="V162" t="str">
            <v>N/A</v>
          </cell>
          <cell r="W162" t="str">
            <v>N/A</v>
          </cell>
          <cell r="X162" t="str">
            <v>N/A</v>
          </cell>
          <cell r="Y162" t="str">
            <v>N/A</v>
          </cell>
          <cell r="Z162" t="str">
            <v>N/A</v>
          </cell>
          <cell r="AA162" t="str">
            <v>N/A</v>
          </cell>
          <cell r="AB162">
            <v>40908</v>
          </cell>
          <cell r="AC162">
            <v>39082</v>
          </cell>
        </row>
        <row r="163">
          <cell r="O163" t="str">
            <v>2-Year PTP with Spread</v>
          </cell>
          <cell r="P163" t="str">
            <v>2-Year PTP with Spread, Franklin</v>
          </cell>
          <cell r="Q163" t="str">
            <v>FQD</v>
          </cell>
          <cell r="R163" t="str">
            <v>2S</v>
          </cell>
          <cell r="S163" t="str">
            <v>FQD2S</v>
          </cell>
          <cell r="T163" t="str">
            <v>N/A</v>
          </cell>
          <cell r="U163" t="str">
            <v>N/A</v>
          </cell>
          <cell r="V163" t="str">
            <v>N/A</v>
          </cell>
          <cell r="W163" t="str">
            <v>N/A</v>
          </cell>
          <cell r="X163" t="str">
            <v>N/A</v>
          </cell>
          <cell r="Y163" t="str">
            <v>N/A</v>
          </cell>
          <cell r="Z163" t="str">
            <v>N/A</v>
          </cell>
          <cell r="AA163" t="str">
            <v>N/A</v>
          </cell>
          <cell r="AB163">
            <v>40908</v>
          </cell>
          <cell r="AC163">
            <v>39082</v>
          </cell>
        </row>
        <row r="164">
          <cell r="O164" t="str">
            <v>2-Year PTP with ParRate &amp; Spread</v>
          </cell>
          <cell r="P164" t="str">
            <v>2-Year PTP with ParRate &amp; Spread, Franklin</v>
          </cell>
          <cell r="Q164" t="str">
            <v>FQD</v>
          </cell>
          <cell r="R164" t="str">
            <v>2PRS</v>
          </cell>
          <cell r="S164" t="str">
            <v>FQD2PRS</v>
          </cell>
          <cell r="T164" t="str">
            <v>N/A</v>
          </cell>
          <cell r="U164" t="str">
            <v>N/A</v>
          </cell>
          <cell r="V164" t="str">
            <v>N/A</v>
          </cell>
          <cell r="W164" t="str">
            <v>N/A</v>
          </cell>
          <cell r="X164" t="str">
            <v>N/A</v>
          </cell>
          <cell r="Y164" t="str">
            <v>N/A</v>
          </cell>
          <cell r="Z164" t="str">
            <v>N/A</v>
          </cell>
          <cell r="AA164" t="str">
            <v>N/A</v>
          </cell>
          <cell r="AB164">
            <v>40908</v>
          </cell>
          <cell r="AC164">
            <v>39082</v>
          </cell>
        </row>
        <row r="165">
          <cell r="O165" t="str">
            <v>2-Year PTP with EPRS Tier 1</v>
          </cell>
          <cell r="P165" t="str">
            <v>2-Year PTP with EPRS Tier 1, Franklin</v>
          </cell>
          <cell r="Q165" t="str">
            <v>FQD</v>
          </cell>
          <cell r="R165" t="str">
            <v>2EPRST1</v>
          </cell>
          <cell r="S165" t="str">
            <v>FQD2EPRST1</v>
          </cell>
          <cell r="T165" t="str">
            <v>N/A</v>
          </cell>
          <cell r="U165" t="str">
            <v>N/A</v>
          </cell>
          <cell r="V165" t="str">
            <v>N/A</v>
          </cell>
          <cell r="W165" t="str">
            <v>N/A</v>
          </cell>
          <cell r="X165" t="str">
            <v>N/A</v>
          </cell>
          <cell r="Y165" t="str">
            <v>N/A</v>
          </cell>
          <cell r="Z165" t="str">
            <v>N/A</v>
          </cell>
          <cell r="AA165" t="str">
            <v>N/A</v>
          </cell>
          <cell r="AB165">
            <v>40908</v>
          </cell>
          <cell r="AC165">
            <v>39082</v>
          </cell>
        </row>
        <row r="166">
          <cell r="O166" t="str">
            <v>2-Year PTP with EPRS Tier 2</v>
          </cell>
          <cell r="P166" t="str">
            <v>2-Year PTP with EPRS Tier 2, Franklin</v>
          </cell>
          <cell r="Q166" t="str">
            <v>FQD</v>
          </cell>
          <cell r="R166" t="str">
            <v>2EPRST2</v>
          </cell>
          <cell r="S166" t="str">
            <v>FQD2EPRST2</v>
          </cell>
          <cell r="T166" t="str">
            <v>N/A</v>
          </cell>
          <cell r="U166" t="str">
            <v>N/A</v>
          </cell>
          <cell r="V166" t="str">
            <v>N/A</v>
          </cell>
          <cell r="W166" t="str">
            <v>N/A</v>
          </cell>
          <cell r="X166" t="str">
            <v>N/A</v>
          </cell>
          <cell r="Y166" t="str">
            <v>N/A</v>
          </cell>
          <cell r="Z166" t="str">
            <v>N/A</v>
          </cell>
          <cell r="AA166" t="str">
            <v>N/A</v>
          </cell>
          <cell r="AB166">
            <v>40908</v>
          </cell>
          <cell r="AC166">
            <v>39082</v>
          </cell>
        </row>
        <row r="167">
          <cell r="O167" t="str">
            <v>5-Year PTP with Cap</v>
          </cell>
          <cell r="P167" t="str">
            <v>5-Year PTP with Cap, Franklin</v>
          </cell>
          <cell r="Q167" t="str">
            <v>FQD</v>
          </cell>
          <cell r="R167" t="str">
            <v>5C</v>
          </cell>
          <cell r="S167" t="str">
            <v>FQD5C</v>
          </cell>
          <cell r="T167" t="str">
            <v>N/A</v>
          </cell>
          <cell r="U167" t="str">
            <v>N/A</v>
          </cell>
          <cell r="V167" t="str">
            <v>N/A</v>
          </cell>
          <cell r="W167" t="str">
            <v>N/A</v>
          </cell>
          <cell r="X167" t="str">
            <v>N/A</v>
          </cell>
          <cell r="Y167" t="str">
            <v>N/A</v>
          </cell>
          <cell r="Z167" t="str">
            <v>N/A</v>
          </cell>
          <cell r="AA167" t="str">
            <v>N/A</v>
          </cell>
          <cell r="AB167">
            <v>40908</v>
          </cell>
          <cell r="AC167">
            <v>39082</v>
          </cell>
        </row>
        <row r="168">
          <cell r="N168" t="str">
            <v>MLSB</v>
          </cell>
          <cell r="O168" t="str">
            <v>1-Year PTP with Cap</v>
          </cell>
          <cell r="P168" t="str">
            <v>1-Year PTP with Cap, MLSB</v>
          </cell>
          <cell r="Q168" t="str">
            <v>MLSB</v>
          </cell>
          <cell r="R168" t="str">
            <v>1C</v>
          </cell>
          <cell r="S168" t="str">
            <v>MLSB1C</v>
          </cell>
          <cell r="T168" t="str">
            <v>N/A</v>
          </cell>
          <cell r="U168" t="str">
            <v>N/A</v>
          </cell>
          <cell r="V168" t="str">
            <v>N/A</v>
          </cell>
          <cell r="W168" t="str">
            <v>N/A</v>
          </cell>
          <cell r="X168" t="str">
            <v>N/A</v>
          </cell>
          <cell r="Y168" t="str">
            <v>N/A</v>
          </cell>
          <cell r="Z168" t="str">
            <v>N/A</v>
          </cell>
          <cell r="AA168" t="str">
            <v>N/A</v>
          </cell>
          <cell r="AB168">
            <v>40178</v>
          </cell>
          <cell r="AC168">
            <v>42004</v>
          </cell>
        </row>
        <row r="169">
          <cell r="O169" t="str">
            <v>1-Year PTP with Secure Cap</v>
          </cell>
          <cell r="P169" t="str">
            <v>1-Year PTP with Secure Cap, MLSB</v>
          </cell>
          <cell r="Q169" t="str">
            <v>MLSB</v>
          </cell>
          <cell r="R169" t="str">
            <v>1SC</v>
          </cell>
          <cell r="S169" t="str">
            <v>MLSB1SC</v>
          </cell>
          <cell r="T169" t="str">
            <v>N/A</v>
          </cell>
          <cell r="U169" t="str">
            <v>N/A</v>
          </cell>
          <cell r="V169" t="str">
            <v>N/A</v>
          </cell>
          <cell r="W169" t="str">
            <v>N/A</v>
          </cell>
          <cell r="X169" t="str">
            <v>N/A</v>
          </cell>
          <cell r="Y169" t="str">
            <v>N/A</v>
          </cell>
          <cell r="Z169" t="str">
            <v>N/A</v>
          </cell>
          <cell r="AA169" t="str">
            <v>N/A</v>
          </cell>
          <cell r="AB169">
            <v>40178</v>
          </cell>
          <cell r="AC169">
            <v>42004</v>
          </cell>
        </row>
        <row r="170">
          <cell r="O170" t="str">
            <v>1-Year PTP with ParRate</v>
          </cell>
          <cell r="P170" t="str">
            <v>1-Year PTP with ParRate, MLSB</v>
          </cell>
          <cell r="Q170" t="str">
            <v>MLSB</v>
          </cell>
          <cell r="R170" t="str">
            <v>1PR</v>
          </cell>
          <cell r="S170" t="str">
            <v>MLSB1PR</v>
          </cell>
          <cell r="T170" t="str">
            <v>N/A</v>
          </cell>
          <cell r="U170">
            <v>0.97</v>
          </cell>
          <cell r="V170" t="str">
            <v>N/A</v>
          </cell>
          <cell r="W170" t="str">
            <v>N/A</v>
          </cell>
          <cell r="X170" t="str">
            <v>N/A</v>
          </cell>
          <cell r="Y170" t="str">
            <v>N/A</v>
          </cell>
          <cell r="Z170">
            <v>0</v>
          </cell>
          <cell r="AA170">
            <v>0.4</v>
          </cell>
          <cell r="AB170">
            <v>40178</v>
          </cell>
          <cell r="AC170">
            <v>42004</v>
          </cell>
        </row>
        <row r="171">
          <cell r="O171" t="str">
            <v>1-Year PTP with Secure ParRate</v>
          </cell>
          <cell r="P171" t="str">
            <v>1-Year PTP with Secure ParRate, MLSB</v>
          </cell>
          <cell r="Q171" t="str">
            <v>MLSB</v>
          </cell>
          <cell r="R171" t="str">
            <v>1SPR</v>
          </cell>
          <cell r="S171" t="str">
            <v>MLSB1SPR</v>
          </cell>
          <cell r="T171" t="str">
            <v>N/A</v>
          </cell>
          <cell r="U171" t="str">
            <v>N/A</v>
          </cell>
          <cell r="V171" t="str">
            <v>N/A</v>
          </cell>
          <cell r="W171" t="str">
            <v>N/A</v>
          </cell>
          <cell r="X171" t="str">
            <v>N/A</v>
          </cell>
          <cell r="Y171" t="str">
            <v>N/A</v>
          </cell>
          <cell r="Z171" t="str">
            <v>N/A</v>
          </cell>
          <cell r="AA171" t="str">
            <v>N/A</v>
          </cell>
          <cell r="AB171">
            <v>40178</v>
          </cell>
          <cell r="AC171">
            <v>42004</v>
          </cell>
        </row>
        <row r="172">
          <cell r="O172" t="str">
            <v>1-Year Performance-Triggered Account</v>
          </cell>
          <cell r="P172" t="str">
            <v>1-Year Performance-Triggered Account, MLSB</v>
          </cell>
          <cell r="Q172" t="str">
            <v>MLSB</v>
          </cell>
          <cell r="R172" t="str">
            <v>1PT</v>
          </cell>
          <cell r="S172" t="str">
            <v>MLSB1PT</v>
          </cell>
          <cell r="T172" t="str">
            <v>N/A</v>
          </cell>
          <cell r="U172" t="str">
            <v>N/A</v>
          </cell>
          <cell r="V172" t="str">
            <v>N/A</v>
          </cell>
          <cell r="W172" t="str">
            <v>N/A</v>
          </cell>
          <cell r="X172" t="str">
            <v>N/A</v>
          </cell>
          <cell r="Y172" t="str">
            <v>N/A</v>
          </cell>
          <cell r="Z172" t="str">
            <v>N/A</v>
          </cell>
          <cell r="AA172" t="str">
            <v>N/A</v>
          </cell>
          <cell r="AB172">
            <v>40178</v>
          </cell>
          <cell r="AC172">
            <v>42004</v>
          </cell>
        </row>
        <row r="173">
          <cell r="O173" t="str">
            <v>1-Year PTP with Spread</v>
          </cell>
          <cell r="P173" t="str">
            <v>1-Year PTP with Spread, MLSB</v>
          </cell>
          <cell r="Q173" t="str">
            <v>MLSB</v>
          </cell>
          <cell r="R173" t="str">
            <v>1S</v>
          </cell>
          <cell r="S173" t="str">
            <v>MLSB1S</v>
          </cell>
          <cell r="T173" t="str">
            <v>N/A</v>
          </cell>
          <cell r="U173" t="str">
            <v>N/A</v>
          </cell>
          <cell r="V173" t="str">
            <v>N/A</v>
          </cell>
          <cell r="W173" t="str">
            <v>N/A</v>
          </cell>
          <cell r="X173" t="str">
            <v>N/A</v>
          </cell>
          <cell r="Y173" t="str">
            <v>N/A</v>
          </cell>
          <cell r="Z173" t="str">
            <v>N/A</v>
          </cell>
          <cell r="AA173" t="str">
            <v>N/A</v>
          </cell>
          <cell r="AB173">
            <v>40178</v>
          </cell>
          <cell r="AC173">
            <v>42004</v>
          </cell>
        </row>
        <row r="174">
          <cell r="O174" t="str">
            <v>1-Year PTP with ParRate &amp; Cap</v>
          </cell>
          <cell r="P174" t="str">
            <v>1-Year PTP with ParRate &amp; Cap, MLSB</v>
          </cell>
          <cell r="Q174" t="str">
            <v>MLSB</v>
          </cell>
          <cell r="R174" t="str">
            <v>1PRC</v>
          </cell>
          <cell r="S174" t="str">
            <v>MLSB1PRC</v>
          </cell>
          <cell r="T174" t="str">
            <v>N/A</v>
          </cell>
          <cell r="U174" t="str">
            <v>N/A</v>
          </cell>
          <cell r="V174" t="str">
            <v>N/A</v>
          </cell>
          <cell r="W174" t="str">
            <v>N/A</v>
          </cell>
          <cell r="X174" t="str">
            <v>N/A</v>
          </cell>
          <cell r="Y174" t="str">
            <v>N/A</v>
          </cell>
          <cell r="Z174" t="str">
            <v>N/A</v>
          </cell>
          <cell r="AA174" t="str">
            <v>N/A</v>
          </cell>
          <cell r="AB174">
            <v>40178</v>
          </cell>
          <cell r="AC174">
            <v>42004</v>
          </cell>
        </row>
        <row r="175">
          <cell r="O175" t="str">
            <v>1-Year PTP with ParRate &amp; Spread</v>
          </cell>
          <cell r="P175" t="str">
            <v>1-Year PTP with ParRate &amp; Spread, MLSB</v>
          </cell>
          <cell r="Q175" t="str">
            <v>MLSB</v>
          </cell>
          <cell r="R175" t="str">
            <v>1PRS</v>
          </cell>
          <cell r="S175" t="str">
            <v>MLSB1PRS</v>
          </cell>
          <cell r="T175" t="str">
            <v>N/A</v>
          </cell>
          <cell r="U175" t="str">
            <v>N/A</v>
          </cell>
          <cell r="V175" t="str">
            <v>N/A</v>
          </cell>
          <cell r="W175" t="str">
            <v>N/A</v>
          </cell>
          <cell r="X175" t="str">
            <v>N/A</v>
          </cell>
          <cell r="Y175" t="str">
            <v>N/A</v>
          </cell>
          <cell r="Z175" t="str">
            <v>N/A</v>
          </cell>
          <cell r="AA175" t="str">
            <v>N/A</v>
          </cell>
          <cell r="AB175">
            <v>40178</v>
          </cell>
          <cell r="AC175">
            <v>42004</v>
          </cell>
        </row>
        <row r="176">
          <cell r="O176" t="str">
            <v>1-Year PTP with EPRS Tier 1</v>
          </cell>
          <cell r="P176" t="str">
            <v>1-Year PTP with EPRS Tier 1, MLSB</v>
          </cell>
          <cell r="Q176" t="str">
            <v>MLSB</v>
          </cell>
          <cell r="R176" t="str">
            <v>1EPRST1</v>
          </cell>
          <cell r="S176" t="str">
            <v>MLSB1EPRST1</v>
          </cell>
          <cell r="T176" t="str">
            <v>N/A</v>
          </cell>
          <cell r="U176" t="str">
            <v>N/A</v>
          </cell>
          <cell r="V176" t="str">
            <v>N/A</v>
          </cell>
          <cell r="W176" t="str">
            <v>N/A</v>
          </cell>
          <cell r="X176" t="str">
            <v>N/A</v>
          </cell>
          <cell r="Y176" t="str">
            <v>N/A</v>
          </cell>
          <cell r="Z176" t="str">
            <v>N/A</v>
          </cell>
          <cell r="AA176" t="str">
            <v>N/A</v>
          </cell>
          <cell r="AB176">
            <v>40178</v>
          </cell>
          <cell r="AC176">
            <v>42004</v>
          </cell>
        </row>
        <row r="177">
          <cell r="O177" t="str">
            <v>1-Year PTP with EPRS Tier 2</v>
          </cell>
          <cell r="P177" t="str">
            <v>1-Year PTP with EPRS Tier 2, MLSB</v>
          </cell>
          <cell r="Q177" t="str">
            <v>MLSB</v>
          </cell>
          <cell r="R177" t="str">
            <v>1EPRST2</v>
          </cell>
          <cell r="S177" t="str">
            <v>MLSB1EPRST2</v>
          </cell>
          <cell r="T177" t="str">
            <v>N/A</v>
          </cell>
          <cell r="U177" t="str">
            <v>N/A</v>
          </cell>
          <cell r="V177" t="str">
            <v>N/A</v>
          </cell>
          <cell r="W177" t="str">
            <v>N/A</v>
          </cell>
          <cell r="X177" t="str">
            <v>N/A</v>
          </cell>
          <cell r="Y177" t="str">
            <v>N/A</v>
          </cell>
          <cell r="Z177" t="str">
            <v>N/A</v>
          </cell>
          <cell r="AA177" t="str">
            <v>N/A</v>
          </cell>
          <cell r="AB177">
            <v>40178</v>
          </cell>
          <cell r="AC177">
            <v>42004</v>
          </cell>
        </row>
        <row r="178">
          <cell r="O178" t="str">
            <v>2-Year PTP with Cap</v>
          </cell>
          <cell r="P178" t="str">
            <v>2-Year PTP with Cap, MLSB</v>
          </cell>
          <cell r="Q178" t="str">
            <v>MLSB</v>
          </cell>
          <cell r="R178" t="str">
            <v>2C</v>
          </cell>
          <cell r="S178" t="str">
            <v>MLSB2C</v>
          </cell>
          <cell r="T178" t="str">
            <v>N/A</v>
          </cell>
          <cell r="U178" t="str">
            <v>N/A</v>
          </cell>
          <cell r="V178" t="str">
            <v>N/A</v>
          </cell>
          <cell r="W178" t="str">
            <v>N/A</v>
          </cell>
          <cell r="X178" t="str">
            <v>N/A</v>
          </cell>
          <cell r="Y178" t="str">
            <v>N/A</v>
          </cell>
          <cell r="Z178" t="str">
            <v>N/A</v>
          </cell>
          <cell r="AA178" t="str">
            <v>N/A</v>
          </cell>
          <cell r="AB178">
            <v>40178</v>
          </cell>
          <cell r="AC178">
            <v>42004</v>
          </cell>
        </row>
        <row r="179">
          <cell r="O179" t="str">
            <v>2-Year PTP with ParRate</v>
          </cell>
          <cell r="P179" t="str">
            <v>2-Year PTP with ParRate, MLSB</v>
          </cell>
          <cell r="Q179" t="str">
            <v>MLSB</v>
          </cell>
          <cell r="R179" t="str">
            <v>2PR</v>
          </cell>
          <cell r="S179" t="str">
            <v>MLSB2PR</v>
          </cell>
          <cell r="T179" t="str">
            <v>N/A</v>
          </cell>
          <cell r="U179" t="str">
            <v>N/A</v>
          </cell>
          <cell r="V179" t="str">
            <v>N/A</v>
          </cell>
          <cell r="W179" t="str">
            <v>N/A</v>
          </cell>
          <cell r="X179" t="str">
            <v>N/A</v>
          </cell>
          <cell r="Y179" t="str">
            <v>N/A</v>
          </cell>
          <cell r="Z179" t="str">
            <v>N/A</v>
          </cell>
          <cell r="AA179" t="str">
            <v>N/A</v>
          </cell>
          <cell r="AB179">
            <v>40178</v>
          </cell>
          <cell r="AC179">
            <v>42004</v>
          </cell>
        </row>
        <row r="180">
          <cell r="O180" t="str">
            <v>2-Year PTP with Spread</v>
          </cell>
          <cell r="P180" t="str">
            <v>2-Year PTP with Spread, MLSB</v>
          </cell>
          <cell r="Q180" t="str">
            <v>MLSB</v>
          </cell>
          <cell r="R180" t="str">
            <v>2S</v>
          </cell>
          <cell r="S180" t="str">
            <v>MLSB2S</v>
          </cell>
          <cell r="T180" t="str">
            <v>N/A</v>
          </cell>
          <cell r="U180" t="str">
            <v>N/A</v>
          </cell>
          <cell r="V180" t="str">
            <v>N/A</v>
          </cell>
          <cell r="W180" t="str">
            <v>N/A</v>
          </cell>
          <cell r="X180" t="str">
            <v>N/A</v>
          </cell>
          <cell r="Y180" t="str">
            <v>N/A</v>
          </cell>
          <cell r="Z180" t="str">
            <v>N/A</v>
          </cell>
          <cell r="AA180" t="str">
            <v>N/A</v>
          </cell>
          <cell r="AB180">
            <v>40178</v>
          </cell>
          <cell r="AC180">
            <v>42004</v>
          </cell>
        </row>
        <row r="181">
          <cell r="O181" t="str">
            <v>2-Year PTP with ParRate &amp; Spread</v>
          </cell>
          <cell r="P181" t="str">
            <v>2-Year PTP with ParRate &amp; Spread, MLSB</v>
          </cell>
          <cell r="Q181" t="str">
            <v>MLSB</v>
          </cell>
          <cell r="R181" t="str">
            <v>2PRS</v>
          </cell>
          <cell r="S181" t="str">
            <v>MLSB2PRS</v>
          </cell>
          <cell r="T181" t="str">
            <v>N/A</v>
          </cell>
          <cell r="U181" t="str">
            <v>N/A</v>
          </cell>
          <cell r="V181" t="str">
            <v>N/A</v>
          </cell>
          <cell r="W181" t="str">
            <v>N/A</v>
          </cell>
          <cell r="X181" t="str">
            <v>N/A</v>
          </cell>
          <cell r="Y181" t="str">
            <v>N/A</v>
          </cell>
          <cell r="Z181" t="str">
            <v>N/A</v>
          </cell>
          <cell r="AA181" t="str">
            <v>N/A</v>
          </cell>
          <cell r="AB181">
            <v>40178</v>
          </cell>
          <cell r="AC181">
            <v>42004</v>
          </cell>
        </row>
        <row r="182">
          <cell r="O182" t="str">
            <v>2-Year PTP with EPRS Tier 1</v>
          </cell>
          <cell r="P182" t="str">
            <v>2-Year PTP with EPRS Tier 1, MLSB</v>
          </cell>
          <cell r="Q182" t="str">
            <v>MLSB</v>
          </cell>
          <cell r="R182" t="str">
            <v>2EPRST1</v>
          </cell>
          <cell r="S182" t="str">
            <v>MLSB2EPRST1</v>
          </cell>
          <cell r="T182" t="str">
            <v>N/A</v>
          </cell>
          <cell r="U182" t="str">
            <v>N/A</v>
          </cell>
          <cell r="V182" t="str">
            <v>N/A</v>
          </cell>
          <cell r="W182" t="str">
            <v>N/A</v>
          </cell>
          <cell r="X182" t="str">
            <v>N/A</v>
          </cell>
          <cell r="Y182" t="str">
            <v>N/A</v>
          </cell>
          <cell r="Z182" t="str">
            <v>N/A</v>
          </cell>
          <cell r="AA182" t="str">
            <v>N/A</v>
          </cell>
          <cell r="AB182">
            <v>40178</v>
          </cell>
          <cell r="AC182">
            <v>42004</v>
          </cell>
        </row>
        <row r="183">
          <cell r="O183" t="str">
            <v>2-Year PTP with EPRS Tier 2</v>
          </cell>
          <cell r="P183" t="str">
            <v>2-Year PTP with EPRS Tier 2, MLSB</v>
          </cell>
          <cell r="Q183" t="str">
            <v>MLSB</v>
          </cell>
          <cell r="R183" t="str">
            <v>2EPRST2</v>
          </cell>
          <cell r="S183" t="str">
            <v>MLSB2EPRST2</v>
          </cell>
          <cell r="T183" t="str">
            <v>N/A</v>
          </cell>
          <cell r="U183" t="str">
            <v>N/A</v>
          </cell>
          <cell r="V183" t="str">
            <v>N/A</v>
          </cell>
          <cell r="W183" t="str">
            <v>N/A</v>
          </cell>
          <cell r="X183" t="str">
            <v>N/A</v>
          </cell>
          <cell r="Y183" t="str">
            <v>N/A</v>
          </cell>
          <cell r="Z183" t="str">
            <v>N/A</v>
          </cell>
          <cell r="AA183" t="str">
            <v>N/A</v>
          </cell>
          <cell r="AB183">
            <v>40178</v>
          </cell>
          <cell r="AC183">
            <v>42004</v>
          </cell>
        </row>
        <row r="184">
          <cell r="O184" t="str">
            <v>5-Year PTP with Cap</v>
          </cell>
          <cell r="P184" t="str">
            <v>5-Year PTP with Cap, MLSB</v>
          </cell>
          <cell r="Q184" t="str">
            <v>MLSB</v>
          </cell>
          <cell r="R184" t="str">
            <v>5C</v>
          </cell>
          <cell r="S184" t="str">
            <v>MLSB5C</v>
          </cell>
          <cell r="T184" t="str">
            <v>N/A</v>
          </cell>
          <cell r="U184" t="str">
            <v>N/A</v>
          </cell>
          <cell r="V184" t="str">
            <v>N/A</v>
          </cell>
          <cell r="W184" t="str">
            <v>N/A</v>
          </cell>
          <cell r="X184" t="str">
            <v>N/A</v>
          </cell>
          <cell r="Y184" t="str">
            <v>N/A</v>
          </cell>
          <cell r="Z184" t="str">
            <v>N/A</v>
          </cell>
          <cell r="AA184" t="str">
            <v>N/A</v>
          </cell>
          <cell r="AB184">
            <v>40178</v>
          </cell>
          <cell r="AC184">
            <v>42004</v>
          </cell>
        </row>
        <row r="185">
          <cell r="N185" t="str">
            <v>PIMCO GEM</v>
          </cell>
          <cell r="O185" t="str">
            <v>1-Year PTP with Cap</v>
          </cell>
          <cell r="P185" t="str">
            <v>1-Year PTP with Cap, PIMCO GEM</v>
          </cell>
          <cell r="Q185" t="str">
            <v>PIMGEM</v>
          </cell>
          <cell r="R185" t="str">
            <v>1C</v>
          </cell>
          <cell r="S185" t="str">
            <v>PIMGEM1C</v>
          </cell>
          <cell r="T185" t="str">
            <v>N/A</v>
          </cell>
          <cell r="U185" t="str">
            <v>N/A</v>
          </cell>
          <cell r="V185" t="str">
            <v>N/A</v>
          </cell>
          <cell r="W185" t="str">
            <v>N/A</v>
          </cell>
          <cell r="X185" t="str">
            <v>N/A</v>
          </cell>
          <cell r="Y185" t="str">
            <v>N/A</v>
          </cell>
          <cell r="Z185" t="str">
            <v>N/A</v>
          </cell>
          <cell r="AA185" t="str">
            <v>N/A</v>
          </cell>
          <cell r="AB185">
            <v>40178</v>
          </cell>
          <cell r="AC185">
            <v>42369</v>
          </cell>
        </row>
        <row r="186">
          <cell r="O186" t="str">
            <v>1-Year PTP with Secure Cap</v>
          </cell>
          <cell r="P186" t="str">
            <v>1-Year PTP with Secure Cap, PIMCO GEM</v>
          </cell>
          <cell r="Q186" t="str">
            <v>PIMGEM</v>
          </cell>
          <cell r="R186" t="str">
            <v>1SC</v>
          </cell>
          <cell r="S186" t="str">
            <v>PIMGEM1SC</v>
          </cell>
          <cell r="T186" t="str">
            <v>N/A</v>
          </cell>
          <cell r="U186" t="str">
            <v>N/A</v>
          </cell>
          <cell r="V186" t="str">
            <v>N/A</v>
          </cell>
          <cell r="W186" t="str">
            <v>N/A</v>
          </cell>
          <cell r="X186" t="str">
            <v>N/A</v>
          </cell>
          <cell r="Y186" t="str">
            <v>N/A</v>
          </cell>
          <cell r="Z186" t="str">
            <v>N/A</v>
          </cell>
          <cell r="AA186" t="str">
            <v>N/A</v>
          </cell>
          <cell r="AB186">
            <v>40178</v>
          </cell>
          <cell r="AC186">
            <v>42369</v>
          </cell>
        </row>
        <row r="187">
          <cell r="O187" t="str">
            <v>1-Year PTP with ParRate</v>
          </cell>
          <cell r="P187" t="str">
            <v>1-Year PTP with ParRate, PIMCO GEM</v>
          </cell>
          <cell r="Q187" t="str">
            <v>PIMGEM</v>
          </cell>
          <cell r="R187" t="str">
            <v>1PR</v>
          </cell>
          <cell r="S187" t="str">
            <v>PIMGEM1PR</v>
          </cell>
          <cell r="T187" t="str">
            <v>N/A</v>
          </cell>
          <cell r="U187" t="str">
            <v>N/A</v>
          </cell>
          <cell r="V187" t="str">
            <v>N/A</v>
          </cell>
          <cell r="W187" t="str">
            <v>N/A</v>
          </cell>
          <cell r="X187" t="str">
            <v>N/A</v>
          </cell>
          <cell r="Y187" t="str">
            <v>N/A</v>
          </cell>
          <cell r="Z187" t="str">
            <v>N/A</v>
          </cell>
          <cell r="AA187" t="str">
            <v>N/A</v>
          </cell>
          <cell r="AB187">
            <v>40178</v>
          </cell>
          <cell r="AC187">
            <v>42369</v>
          </cell>
        </row>
        <row r="188">
          <cell r="O188" t="str">
            <v>1-Year PTP with Secure ParRate</v>
          </cell>
          <cell r="P188" t="str">
            <v>1-Year PTP with Secure ParRate, PIMCO GEM</v>
          </cell>
          <cell r="Q188" t="str">
            <v>PIMGEM</v>
          </cell>
          <cell r="R188" t="str">
            <v>1SPR</v>
          </cell>
          <cell r="S188" t="str">
            <v>PIMGEM1SPR</v>
          </cell>
          <cell r="T188" t="str">
            <v>N/A</v>
          </cell>
          <cell r="U188" t="str">
            <v>N/A</v>
          </cell>
          <cell r="V188" t="str">
            <v>N/A</v>
          </cell>
          <cell r="W188" t="str">
            <v>N/A</v>
          </cell>
          <cell r="X188" t="str">
            <v>N/A</v>
          </cell>
          <cell r="Y188" t="str">
            <v>N/A</v>
          </cell>
          <cell r="Z188" t="str">
            <v>N/A</v>
          </cell>
          <cell r="AA188" t="str">
            <v>N/A</v>
          </cell>
          <cell r="AB188">
            <v>40178</v>
          </cell>
          <cell r="AC188">
            <v>42369</v>
          </cell>
        </row>
        <row r="189">
          <cell r="O189" t="str">
            <v>1-Year Performance-Triggered Account</v>
          </cell>
          <cell r="P189" t="str">
            <v>1-Year Performance-Triggered Account, PIMCO GEM</v>
          </cell>
          <cell r="Q189" t="str">
            <v>PIMGEM</v>
          </cell>
          <cell r="R189" t="str">
            <v>1PT</v>
          </cell>
          <cell r="S189" t="str">
            <v>PIMGEM1PT</v>
          </cell>
          <cell r="T189" t="str">
            <v>N/A</v>
          </cell>
          <cell r="U189" t="str">
            <v>N/A</v>
          </cell>
          <cell r="V189" t="str">
            <v>N/A</v>
          </cell>
          <cell r="W189" t="str">
            <v>N/A</v>
          </cell>
          <cell r="X189" t="str">
            <v>N/A</v>
          </cell>
          <cell r="Y189" t="str">
            <v>N/A</v>
          </cell>
          <cell r="Z189" t="str">
            <v>N/A</v>
          </cell>
          <cell r="AA189" t="str">
            <v>N/A</v>
          </cell>
          <cell r="AB189">
            <v>40178</v>
          </cell>
          <cell r="AC189">
            <v>42369</v>
          </cell>
        </row>
        <row r="190">
          <cell r="O190" t="str">
            <v>1-Year PTP with Spread</v>
          </cell>
          <cell r="P190" t="str">
            <v>1-Year PTP with Spread, PIMCO GEM</v>
          </cell>
          <cell r="Q190" t="str">
            <v>PIMGEM</v>
          </cell>
          <cell r="R190" t="str">
            <v>1S</v>
          </cell>
          <cell r="S190" t="str">
            <v>PIMGEM1S</v>
          </cell>
          <cell r="T190" t="str">
            <v>N/A</v>
          </cell>
          <cell r="U190" t="str">
            <v>N/A</v>
          </cell>
          <cell r="V190" t="str">
            <v>N/A</v>
          </cell>
          <cell r="W190" t="str">
            <v>N/A</v>
          </cell>
          <cell r="X190" t="str">
            <v>N/A</v>
          </cell>
          <cell r="Y190" t="str">
            <v>N/A</v>
          </cell>
          <cell r="Z190" t="str">
            <v>N/A</v>
          </cell>
          <cell r="AA190" t="str">
            <v>N/A</v>
          </cell>
          <cell r="AB190">
            <v>40178</v>
          </cell>
          <cell r="AC190">
            <v>42369</v>
          </cell>
        </row>
        <row r="191">
          <cell r="O191" t="str">
            <v>1-Year PTP with ParRate &amp; Cap</v>
          </cell>
          <cell r="P191" t="str">
            <v>1-Year PTP with ParRate &amp; Cap, PIMCO GEM</v>
          </cell>
          <cell r="Q191" t="str">
            <v>PIMGEM</v>
          </cell>
          <cell r="R191" t="str">
            <v>1PRC</v>
          </cell>
          <cell r="S191" t="str">
            <v>PIMGEM1PRC</v>
          </cell>
          <cell r="T191" t="str">
            <v>N/A</v>
          </cell>
          <cell r="U191" t="str">
            <v>N/A</v>
          </cell>
          <cell r="V191" t="str">
            <v>N/A</v>
          </cell>
          <cell r="W191" t="str">
            <v>N/A</v>
          </cell>
          <cell r="X191" t="str">
            <v>N/A</v>
          </cell>
          <cell r="Y191" t="str">
            <v>N/A</v>
          </cell>
          <cell r="Z191" t="str">
            <v>N/A</v>
          </cell>
          <cell r="AA191" t="str">
            <v>N/A</v>
          </cell>
          <cell r="AB191">
            <v>40178</v>
          </cell>
          <cell r="AC191">
            <v>42369</v>
          </cell>
        </row>
        <row r="192">
          <cell r="O192" t="str">
            <v>1-Year PTP with ParRate &amp; Spread</v>
          </cell>
          <cell r="P192" t="str">
            <v>1-Year PTP with ParRate &amp; Spread, PIMCO GEM</v>
          </cell>
          <cell r="Q192" t="str">
            <v>PIMGEM</v>
          </cell>
          <cell r="R192" t="str">
            <v>1PRS</v>
          </cell>
          <cell r="S192" t="str">
            <v>PIMGEM1PRS</v>
          </cell>
          <cell r="T192" t="str">
            <v>N/A</v>
          </cell>
          <cell r="U192" t="str">
            <v>N/A</v>
          </cell>
          <cell r="V192" t="str">
            <v>N/A</v>
          </cell>
          <cell r="W192" t="str">
            <v>N/A</v>
          </cell>
          <cell r="X192" t="str">
            <v>N/A</v>
          </cell>
          <cell r="Y192" t="str">
            <v>N/A</v>
          </cell>
          <cell r="Z192" t="str">
            <v>N/A</v>
          </cell>
          <cell r="AA192" t="str">
            <v>N/A</v>
          </cell>
          <cell r="AB192">
            <v>40178</v>
          </cell>
          <cell r="AC192">
            <v>42369</v>
          </cell>
        </row>
        <row r="193">
          <cell r="O193" t="str">
            <v>1-Year PTP with EPRS Tier 1</v>
          </cell>
          <cell r="P193" t="str">
            <v>1-Year PTP with EPRS Tier 1, PIMCO GEM</v>
          </cell>
          <cell r="Q193" t="str">
            <v>PIMGEM</v>
          </cell>
          <cell r="R193" t="str">
            <v>1EPRST1</v>
          </cell>
          <cell r="S193" t="str">
            <v>PIMGEM1EPRST1</v>
          </cell>
          <cell r="T193" t="str">
            <v>N/A</v>
          </cell>
          <cell r="U193" t="str">
            <v>N/A</v>
          </cell>
          <cell r="V193" t="str">
            <v>N/A</v>
          </cell>
          <cell r="W193" t="str">
            <v>N/A</v>
          </cell>
          <cell r="X193" t="str">
            <v>N/A</v>
          </cell>
          <cell r="Y193" t="str">
            <v>N/A</v>
          </cell>
          <cell r="Z193" t="str">
            <v>N/A</v>
          </cell>
          <cell r="AA193" t="str">
            <v>N/A</v>
          </cell>
          <cell r="AB193">
            <v>40178</v>
          </cell>
          <cell r="AC193">
            <v>42369</v>
          </cell>
        </row>
        <row r="194">
          <cell r="O194" t="str">
            <v>1-Year PTP with EPRS Tier 2</v>
          </cell>
          <cell r="P194" t="str">
            <v>1-Year PTP with EPRS Tier 2, PIMCO GEM</v>
          </cell>
          <cell r="Q194" t="str">
            <v>PIMGEM</v>
          </cell>
          <cell r="R194" t="str">
            <v>1EPRST2</v>
          </cell>
          <cell r="S194" t="str">
            <v>PIMGEM1EPRST2</v>
          </cell>
          <cell r="T194" t="str">
            <v>N/A</v>
          </cell>
          <cell r="U194" t="str">
            <v>N/A</v>
          </cell>
          <cell r="V194" t="str">
            <v>N/A</v>
          </cell>
          <cell r="W194" t="str">
            <v>N/A</v>
          </cell>
          <cell r="X194" t="str">
            <v>N/A</v>
          </cell>
          <cell r="Y194" t="str">
            <v>N/A</v>
          </cell>
          <cell r="Z194" t="str">
            <v>N/A</v>
          </cell>
          <cell r="AA194" t="str">
            <v>N/A</v>
          </cell>
          <cell r="AB194">
            <v>40178</v>
          </cell>
          <cell r="AC194">
            <v>42369</v>
          </cell>
        </row>
        <row r="195">
          <cell r="O195" t="str">
            <v>2-Year PTP with Cap</v>
          </cell>
          <cell r="P195" t="str">
            <v>2-Year PTP with Cap, PIMCO GEM</v>
          </cell>
          <cell r="Q195" t="str">
            <v>PIMGEM</v>
          </cell>
          <cell r="R195" t="str">
            <v>2C</v>
          </cell>
          <cell r="S195" t="str">
            <v>PIMGEM2C</v>
          </cell>
          <cell r="T195" t="str">
            <v>N/A</v>
          </cell>
          <cell r="U195" t="str">
            <v>N/A</v>
          </cell>
          <cell r="V195" t="str">
            <v>N/A</v>
          </cell>
          <cell r="W195" t="str">
            <v>N/A</v>
          </cell>
          <cell r="X195" t="str">
            <v>N/A</v>
          </cell>
          <cell r="Y195" t="str">
            <v>N/A</v>
          </cell>
          <cell r="Z195" t="str">
            <v>N/A</v>
          </cell>
          <cell r="AA195" t="str">
            <v>N/A</v>
          </cell>
          <cell r="AB195">
            <v>40178</v>
          </cell>
          <cell r="AC195">
            <v>42369</v>
          </cell>
        </row>
        <row r="196">
          <cell r="O196" t="str">
            <v>2-Year PTP with ParRate</v>
          </cell>
          <cell r="P196" t="str">
            <v>2-Year PTP with ParRate, PIMCO GEM</v>
          </cell>
          <cell r="Q196" t="str">
            <v>PIMGEM</v>
          </cell>
          <cell r="R196" t="str">
            <v>2PR</v>
          </cell>
          <cell r="S196" t="str">
            <v>PIMGEM2PR</v>
          </cell>
          <cell r="T196" t="str">
            <v>N/A</v>
          </cell>
          <cell r="U196" t="str">
            <v>N/A</v>
          </cell>
          <cell r="V196" t="str">
            <v>N/A</v>
          </cell>
          <cell r="W196" t="str">
            <v>N/A</v>
          </cell>
          <cell r="X196" t="str">
            <v>N/A</v>
          </cell>
          <cell r="Y196" t="str">
            <v>N/A</v>
          </cell>
          <cell r="Z196" t="str">
            <v>N/A</v>
          </cell>
          <cell r="AA196" t="str">
            <v>N/A</v>
          </cell>
          <cell r="AB196">
            <v>40178</v>
          </cell>
          <cell r="AC196">
            <v>42369</v>
          </cell>
        </row>
        <row r="197">
          <cell r="O197" t="str">
            <v>2-Year PTP with Spread</v>
          </cell>
          <cell r="P197" t="str">
            <v>2-Year PTP with Spread, PIMCO GEM</v>
          </cell>
          <cell r="Q197" t="str">
            <v>PIMGEM</v>
          </cell>
          <cell r="R197" t="str">
            <v>2S</v>
          </cell>
          <cell r="S197" t="str">
            <v>PIMGEM2S</v>
          </cell>
          <cell r="T197" t="str">
            <v>N/A</v>
          </cell>
          <cell r="U197" t="str">
            <v>N/A</v>
          </cell>
          <cell r="V197" t="str">
            <v>N/A</v>
          </cell>
          <cell r="W197" t="str">
            <v>N/A</v>
          </cell>
          <cell r="X197" t="str">
            <v>N/A</v>
          </cell>
          <cell r="Y197" t="str">
            <v>N/A</v>
          </cell>
          <cell r="Z197" t="str">
            <v>N/A</v>
          </cell>
          <cell r="AA197" t="str">
            <v>N/A</v>
          </cell>
          <cell r="AB197">
            <v>40178</v>
          </cell>
          <cell r="AC197">
            <v>42369</v>
          </cell>
        </row>
        <row r="198">
          <cell r="O198" t="str">
            <v>2-Year PTP with ParRate &amp; Spread</v>
          </cell>
          <cell r="P198" t="str">
            <v>2-Year PTP with ParRate &amp; Spread, PIMCO GEM</v>
          </cell>
          <cell r="Q198" t="str">
            <v>PIMGEM</v>
          </cell>
          <cell r="R198" t="str">
            <v>2PRS</v>
          </cell>
          <cell r="S198" t="str">
            <v>PIMGEM2PRS</v>
          </cell>
          <cell r="T198" t="str">
            <v>N/A</v>
          </cell>
          <cell r="U198" t="str">
            <v>N/A</v>
          </cell>
          <cell r="V198" t="str">
            <v>N/A</v>
          </cell>
          <cell r="W198" t="str">
            <v>N/A</v>
          </cell>
          <cell r="X198" t="str">
            <v>N/A</v>
          </cell>
          <cell r="Y198" t="str">
            <v>N/A</v>
          </cell>
          <cell r="Z198" t="str">
            <v>N/A</v>
          </cell>
          <cell r="AA198" t="str">
            <v>N/A</v>
          </cell>
          <cell r="AB198">
            <v>40178</v>
          </cell>
          <cell r="AC198">
            <v>42369</v>
          </cell>
        </row>
        <row r="199">
          <cell r="O199" t="str">
            <v>2-Year PTP with EPRS Tier 1</v>
          </cell>
          <cell r="P199" t="str">
            <v>2-Year PTP with EPRS Tier 1, PIMCO GEM</v>
          </cell>
          <cell r="Q199" t="str">
            <v>PIMGEM</v>
          </cell>
          <cell r="R199" t="str">
            <v>2EPRST1</v>
          </cell>
          <cell r="S199" t="str">
            <v>PIMGEM2EPRST1</v>
          </cell>
          <cell r="T199" t="str">
            <v>N/A</v>
          </cell>
          <cell r="U199" t="str">
            <v>N/A</v>
          </cell>
          <cell r="V199" t="str">
            <v>N/A</v>
          </cell>
          <cell r="W199" t="str">
            <v>N/A</v>
          </cell>
          <cell r="X199" t="str">
            <v>N/A</v>
          </cell>
          <cell r="Y199" t="str">
            <v>N/A</v>
          </cell>
          <cell r="Z199" t="str">
            <v>N/A</v>
          </cell>
          <cell r="AA199" t="str">
            <v>N/A</v>
          </cell>
          <cell r="AB199">
            <v>40178</v>
          </cell>
          <cell r="AC199">
            <v>42369</v>
          </cell>
        </row>
        <row r="200">
          <cell r="O200" t="str">
            <v>2-Year PTP with EPRS Tier 2</v>
          </cell>
          <cell r="P200" t="str">
            <v>2-Year PTP with EPRS Tier 2, PIMCO GEM</v>
          </cell>
          <cell r="Q200" t="str">
            <v>PIMGEM</v>
          </cell>
          <cell r="R200" t="str">
            <v>2EPRST2</v>
          </cell>
          <cell r="S200" t="str">
            <v>PIMGEM2EPRST2</v>
          </cell>
          <cell r="T200" t="str">
            <v>N/A</v>
          </cell>
          <cell r="U200" t="str">
            <v>N/A</v>
          </cell>
          <cell r="V200" t="str">
            <v>N/A</v>
          </cell>
          <cell r="W200" t="str">
            <v>N/A</v>
          </cell>
          <cell r="X200" t="str">
            <v>N/A</v>
          </cell>
          <cell r="Y200" t="str">
            <v>N/A</v>
          </cell>
          <cell r="Z200" t="str">
            <v>N/A</v>
          </cell>
          <cell r="AA200" t="str">
            <v>N/A</v>
          </cell>
          <cell r="AB200">
            <v>40178</v>
          </cell>
          <cell r="AC200">
            <v>42369</v>
          </cell>
        </row>
        <row r="201">
          <cell r="O201" t="str">
            <v>5-Year PTP with Cap</v>
          </cell>
          <cell r="P201" t="str">
            <v>5-Year PTP with Cap, PIMCO GEM</v>
          </cell>
          <cell r="Q201" t="str">
            <v>PIMGEM</v>
          </cell>
          <cell r="R201" t="str">
            <v>5C</v>
          </cell>
          <cell r="S201" t="str">
            <v>PIMGEM5C</v>
          </cell>
          <cell r="T201" t="str">
            <v>N/A</v>
          </cell>
          <cell r="U201" t="str">
            <v>N/A</v>
          </cell>
          <cell r="V201" t="str">
            <v>N/A</v>
          </cell>
          <cell r="W201" t="str">
            <v>N/A</v>
          </cell>
          <cell r="X201" t="str">
            <v>N/A</v>
          </cell>
          <cell r="Y201" t="str">
            <v>N/A</v>
          </cell>
          <cell r="Z201" t="str">
            <v>N/A</v>
          </cell>
          <cell r="AA201" t="str">
            <v>N/A</v>
          </cell>
          <cell r="AB201">
            <v>40178</v>
          </cell>
          <cell r="AC201">
            <v>42369</v>
          </cell>
        </row>
        <row r="202">
          <cell r="N202" t="str">
            <v>PIMCO Global Optima</v>
          </cell>
          <cell r="O202" t="str">
            <v>1-Year PTP with Cap</v>
          </cell>
          <cell r="P202" t="str">
            <v>1-Year PTP with Cap, PIMCO Global Optima</v>
          </cell>
          <cell r="Q202" t="str">
            <v>PIMGOPT</v>
          </cell>
          <cell r="R202" t="str">
            <v>1C</v>
          </cell>
          <cell r="S202" t="str">
            <v>PIMGOPT1C</v>
          </cell>
          <cell r="T202" t="str">
            <v>N/A</v>
          </cell>
          <cell r="U202" t="str">
            <v>N/A</v>
          </cell>
          <cell r="V202">
            <v>0.115</v>
          </cell>
          <cell r="W202" t="str">
            <v>N/A</v>
          </cell>
          <cell r="X202" t="str">
            <v>N/A</v>
          </cell>
          <cell r="Y202" t="str">
            <v>N/A</v>
          </cell>
          <cell r="Z202" t="str">
            <v/>
          </cell>
          <cell r="AA202">
            <v>0.1</v>
          </cell>
          <cell r="AB202">
            <v>39813</v>
          </cell>
          <cell r="AC202">
            <v>41639</v>
          </cell>
        </row>
        <row r="203">
          <cell r="O203" t="str">
            <v>1-Year PTP with Secure Cap</v>
          </cell>
          <cell r="P203" t="str">
            <v>1-Year PTP with Secure Cap, PIMCO Global Optima</v>
          </cell>
          <cell r="Q203" t="str">
            <v>PIMGOPT</v>
          </cell>
          <cell r="R203" t="str">
            <v>1SC</v>
          </cell>
          <cell r="S203" t="str">
            <v>PIMGOPT1SC</v>
          </cell>
          <cell r="T203" t="str">
            <v>N/A</v>
          </cell>
          <cell r="U203" t="str">
            <v>N/A</v>
          </cell>
          <cell r="V203" t="str">
            <v>N/A</v>
          </cell>
          <cell r="W203" t="str">
            <v>N/A</v>
          </cell>
          <cell r="X203" t="str">
            <v>N/A</v>
          </cell>
          <cell r="Y203" t="str">
            <v>N/A</v>
          </cell>
          <cell r="Z203" t="str">
            <v>N/A</v>
          </cell>
          <cell r="AA203" t="str">
            <v>N/A</v>
          </cell>
          <cell r="AB203">
            <v>39813</v>
          </cell>
          <cell r="AC203">
            <v>41639</v>
          </cell>
        </row>
        <row r="204">
          <cell r="O204" t="str">
            <v>1-Year PTP with ParRate</v>
          </cell>
          <cell r="P204" t="str">
            <v>1-Year PTP with ParRate, PIMCO Global Optima</v>
          </cell>
          <cell r="Q204" t="str">
            <v>PIMGOPT</v>
          </cell>
          <cell r="R204" t="str">
            <v>1PR</v>
          </cell>
          <cell r="S204" t="str">
            <v>PIMGOPT1PR</v>
          </cell>
          <cell r="T204" t="str">
            <v>N/A</v>
          </cell>
          <cell r="U204" t="str">
            <v>N/A</v>
          </cell>
          <cell r="V204" t="str">
            <v>N/A</v>
          </cell>
          <cell r="W204" t="str">
            <v>N/A</v>
          </cell>
          <cell r="X204" t="str">
            <v>N/A</v>
          </cell>
          <cell r="Y204" t="str">
            <v>N/A</v>
          </cell>
          <cell r="Z204" t="str">
            <v>N/A</v>
          </cell>
          <cell r="AA204" t="str">
            <v>N/A</v>
          </cell>
          <cell r="AB204">
            <v>39813</v>
          </cell>
          <cell r="AC204">
            <v>41639</v>
          </cell>
        </row>
        <row r="205">
          <cell r="O205" t="str">
            <v>1-Year PTP with Secure ParRate</v>
          </cell>
          <cell r="P205" t="str">
            <v>1-Year PTP with Secure ParRate, PIMCO Global Optima</v>
          </cell>
          <cell r="Q205" t="str">
            <v>PIMGOPT</v>
          </cell>
          <cell r="R205" t="str">
            <v>1SPR</v>
          </cell>
          <cell r="S205" t="str">
            <v>PIMGOPT1SPR</v>
          </cell>
          <cell r="T205" t="str">
            <v>N/A</v>
          </cell>
          <cell r="U205" t="str">
            <v>N/A</v>
          </cell>
          <cell r="V205" t="str">
            <v>N/A</v>
          </cell>
          <cell r="W205" t="str">
            <v>N/A</v>
          </cell>
          <cell r="X205" t="str">
            <v>N/A</v>
          </cell>
          <cell r="Y205" t="str">
            <v>N/A</v>
          </cell>
          <cell r="Z205" t="str">
            <v>N/A</v>
          </cell>
          <cell r="AA205" t="str">
            <v>N/A</v>
          </cell>
          <cell r="AB205">
            <v>39813</v>
          </cell>
          <cell r="AC205">
            <v>41639</v>
          </cell>
        </row>
        <row r="206">
          <cell r="O206" t="str">
            <v>1-Year Performance-Triggered Account</v>
          </cell>
          <cell r="P206" t="str">
            <v>1-Year Performance-Triggered Account, PIMCO Global Optima</v>
          </cell>
          <cell r="Q206" t="str">
            <v>PIMGOPT</v>
          </cell>
          <cell r="R206" t="str">
            <v>1PT</v>
          </cell>
          <cell r="S206" t="str">
            <v>PIMGOPT1PT</v>
          </cell>
          <cell r="T206" t="str">
            <v>N/A</v>
          </cell>
          <cell r="U206" t="str">
            <v>N/A</v>
          </cell>
          <cell r="V206" t="str">
            <v>N/A</v>
          </cell>
          <cell r="W206" t="str">
            <v>N/A</v>
          </cell>
          <cell r="X206" t="str">
            <v>N/A</v>
          </cell>
          <cell r="Y206" t="str">
            <v>N/A</v>
          </cell>
          <cell r="Z206" t="str">
            <v>N/A</v>
          </cell>
          <cell r="AA206" t="str">
            <v>N/A</v>
          </cell>
          <cell r="AB206">
            <v>39813</v>
          </cell>
          <cell r="AC206">
            <v>41639</v>
          </cell>
        </row>
        <row r="207">
          <cell r="O207" t="str">
            <v>1-Year PTP with Spread</v>
          </cell>
          <cell r="P207" t="str">
            <v>1-Year PTP with Spread, PIMCO Global Optima</v>
          </cell>
          <cell r="Q207" t="str">
            <v>PIMGOPT</v>
          </cell>
          <cell r="R207" t="str">
            <v>1S</v>
          </cell>
          <cell r="S207" t="str">
            <v>PIMGOPT1S</v>
          </cell>
          <cell r="T207" t="str">
            <v>N/A</v>
          </cell>
          <cell r="U207" t="str">
            <v>N/A</v>
          </cell>
          <cell r="V207" t="str">
            <v>N/A</v>
          </cell>
          <cell r="W207" t="str">
            <v>N/A</v>
          </cell>
          <cell r="X207" t="str">
            <v>N/A</v>
          </cell>
          <cell r="Y207" t="str">
            <v>N/A</v>
          </cell>
          <cell r="Z207" t="str">
            <v>N/A</v>
          </cell>
          <cell r="AA207" t="str">
            <v>N/A</v>
          </cell>
          <cell r="AB207">
            <v>39813</v>
          </cell>
          <cell r="AC207">
            <v>41639</v>
          </cell>
        </row>
        <row r="208">
          <cell r="O208" t="str">
            <v>1-Year PTP with ParRate &amp; Cap</v>
          </cell>
          <cell r="P208" t="str">
            <v>1-Year PTP with ParRate &amp; Cap, PIMCO Global Optima</v>
          </cell>
          <cell r="Q208" t="str">
            <v>PIMGOPT</v>
          </cell>
          <cell r="R208" t="str">
            <v>1PRC</v>
          </cell>
          <cell r="S208" t="str">
            <v>PIMGOPT1PRC</v>
          </cell>
          <cell r="T208" t="str">
            <v>N/A</v>
          </cell>
          <cell r="U208" t="str">
            <v>N/A</v>
          </cell>
          <cell r="V208" t="str">
            <v>N/A</v>
          </cell>
          <cell r="W208" t="str">
            <v>N/A</v>
          </cell>
          <cell r="X208" t="str">
            <v>N/A</v>
          </cell>
          <cell r="Y208" t="str">
            <v>N/A</v>
          </cell>
          <cell r="Z208" t="str">
            <v>N/A</v>
          </cell>
          <cell r="AA208" t="str">
            <v>N/A</v>
          </cell>
          <cell r="AB208">
            <v>39813</v>
          </cell>
          <cell r="AC208">
            <v>41639</v>
          </cell>
        </row>
        <row r="209">
          <cell r="O209" t="str">
            <v>1-Year PTP with ParRate &amp; Spread</v>
          </cell>
          <cell r="P209" t="str">
            <v>1-Year PTP with ParRate &amp; Spread, PIMCO Global Optima</v>
          </cell>
          <cell r="Q209" t="str">
            <v>PIMGOPT</v>
          </cell>
          <cell r="R209" t="str">
            <v>1PRS</v>
          </cell>
          <cell r="S209" t="str">
            <v>PIMGOPT1PRS</v>
          </cell>
          <cell r="T209" t="str">
            <v>N/A</v>
          </cell>
          <cell r="U209" t="str">
            <v>N/A</v>
          </cell>
          <cell r="V209" t="str">
            <v>N/A</v>
          </cell>
          <cell r="W209" t="str">
            <v>N/A</v>
          </cell>
          <cell r="X209" t="str">
            <v>N/A</v>
          </cell>
          <cell r="Y209" t="str">
            <v>N/A</v>
          </cell>
          <cell r="Z209" t="str">
            <v>N/A</v>
          </cell>
          <cell r="AA209" t="str">
            <v>N/A</v>
          </cell>
          <cell r="AB209">
            <v>39813</v>
          </cell>
          <cell r="AC209">
            <v>41639</v>
          </cell>
        </row>
        <row r="210">
          <cell r="O210" t="str">
            <v>1-Year PTP with EPRS Tier 1</v>
          </cell>
          <cell r="P210" t="str">
            <v>1-Year PTP with EPRS Tier 1, PIMCO Global Optima</v>
          </cell>
          <cell r="Q210" t="str">
            <v>PIMGOPT</v>
          </cell>
          <cell r="R210" t="str">
            <v>1EPRST1</v>
          </cell>
          <cell r="S210" t="str">
            <v>PIMGOPT1EPRST1</v>
          </cell>
          <cell r="T210" t="str">
            <v>N/A</v>
          </cell>
          <cell r="U210" t="str">
            <v>N/A</v>
          </cell>
          <cell r="V210" t="str">
            <v>N/A</v>
          </cell>
          <cell r="W210" t="str">
            <v>N/A</v>
          </cell>
          <cell r="X210" t="str">
            <v>N/A</v>
          </cell>
          <cell r="Y210" t="str">
            <v>N/A</v>
          </cell>
          <cell r="Z210" t="str">
            <v>N/A</v>
          </cell>
          <cell r="AA210" t="str">
            <v>N/A</v>
          </cell>
          <cell r="AB210">
            <v>39813</v>
          </cell>
          <cell r="AC210">
            <v>41639</v>
          </cell>
        </row>
        <row r="211">
          <cell r="O211" t="str">
            <v>1-Year PTP with EPRS Tier 2</v>
          </cell>
          <cell r="P211" t="str">
            <v>1-Year PTP with EPRS Tier 2, PIMCO Global Optima</v>
          </cell>
          <cell r="Q211" t="str">
            <v>PIMGOPT</v>
          </cell>
          <cell r="R211" t="str">
            <v>1EPRST2</v>
          </cell>
          <cell r="S211" t="str">
            <v>PIMGOPT1EPRST2</v>
          </cell>
          <cell r="T211" t="str">
            <v>N/A</v>
          </cell>
          <cell r="U211" t="str">
            <v>N/A</v>
          </cell>
          <cell r="V211" t="str">
            <v>N/A</v>
          </cell>
          <cell r="W211" t="str">
            <v>N/A</v>
          </cell>
          <cell r="X211" t="str">
            <v>N/A</v>
          </cell>
          <cell r="Y211" t="str">
            <v>N/A</v>
          </cell>
          <cell r="Z211" t="str">
            <v>N/A</v>
          </cell>
          <cell r="AA211" t="str">
            <v>N/A</v>
          </cell>
          <cell r="AB211">
            <v>39813</v>
          </cell>
          <cell r="AC211">
            <v>41639</v>
          </cell>
        </row>
        <row r="212">
          <cell r="O212" t="str">
            <v>2-Year PTP with Cap</v>
          </cell>
          <cell r="P212" t="str">
            <v>2-Year PTP with Cap, PIMCO Global Optima</v>
          </cell>
          <cell r="Q212" t="str">
            <v>PIMGOPT</v>
          </cell>
          <cell r="R212" t="str">
            <v>2C</v>
          </cell>
          <cell r="S212" t="str">
            <v>PIMGOPT2C</v>
          </cell>
          <cell r="T212" t="str">
            <v>N/A</v>
          </cell>
          <cell r="U212" t="str">
            <v>N/A</v>
          </cell>
          <cell r="V212" t="str">
            <v>N/A</v>
          </cell>
          <cell r="W212" t="str">
            <v>N/A</v>
          </cell>
          <cell r="X212" t="str">
            <v>N/A</v>
          </cell>
          <cell r="Y212" t="str">
            <v>N/A</v>
          </cell>
          <cell r="Z212" t="str">
            <v>N/A</v>
          </cell>
          <cell r="AA212" t="str">
            <v>N/A</v>
          </cell>
          <cell r="AB212">
            <v>39813</v>
          </cell>
          <cell r="AC212">
            <v>41639</v>
          </cell>
        </row>
        <row r="213">
          <cell r="O213" t="str">
            <v>2-Year PTP with ParRate</v>
          </cell>
          <cell r="P213" t="str">
            <v>2-Year PTP with ParRate, PIMCO Global Optima</v>
          </cell>
          <cell r="Q213" t="str">
            <v>PIMGOPT</v>
          </cell>
          <cell r="R213" t="str">
            <v>2PR</v>
          </cell>
          <cell r="S213" t="str">
            <v>PIMGOPT2PR</v>
          </cell>
          <cell r="T213" t="str">
            <v>N/A</v>
          </cell>
          <cell r="U213" t="str">
            <v>N/A</v>
          </cell>
          <cell r="V213" t="str">
            <v>N/A</v>
          </cell>
          <cell r="W213" t="str">
            <v>N/A</v>
          </cell>
          <cell r="X213" t="str">
            <v>N/A</v>
          </cell>
          <cell r="Y213" t="str">
            <v>N/A</v>
          </cell>
          <cell r="Z213" t="str">
            <v>N/A</v>
          </cell>
          <cell r="AA213" t="str">
            <v>N/A</v>
          </cell>
          <cell r="AB213">
            <v>39813</v>
          </cell>
          <cell r="AC213">
            <v>41639</v>
          </cell>
        </row>
        <row r="214">
          <cell r="O214" t="str">
            <v>2-Year PTP with Spread</v>
          </cell>
          <cell r="P214" t="str">
            <v>2-Year PTP with Spread, PIMCO Global Optima</v>
          </cell>
          <cell r="Q214" t="str">
            <v>PIMGOPT</v>
          </cell>
          <cell r="R214" t="str">
            <v>2S</v>
          </cell>
          <cell r="S214" t="str">
            <v>PIMGOPT2S</v>
          </cell>
          <cell r="T214" t="str">
            <v>N/A</v>
          </cell>
          <cell r="U214" t="str">
            <v>N/A</v>
          </cell>
          <cell r="V214" t="str">
            <v>N/A</v>
          </cell>
          <cell r="W214" t="str">
            <v>N/A</v>
          </cell>
          <cell r="X214" t="str">
            <v>N/A</v>
          </cell>
          <cell r="Y214" t="str">
            <v>N/A</v>
          </cell>
          <cell r="Z214" t="str">
            <v>N/A</v>
          </cell>
          <cell r="AA214" t="str">
            <v>N/A</v>
          </cell>
          <cell r="AB214">
            <v>39813</v>
          </cell>
          <cell r="AC214">
            <v>41639</v>
          </cell>
        </row>
        <row r="215">
          <cell r="O215" t="str">
            <v>2-Year PTP with ParRate &amp; Spread</v>
          </cell>
          <cell r="P215" t="str">
            <v>2-Year PTP with ParRate &amp; Spread, PIMCO Global Optima</v>
          </cell>
          <cell r="Q215" t="str">
            <v>PIMGOPT</v>
          </cell>
          <cell r="R215" t="str">
            <v>2PRS</v>
          </cell>
          <cell r="S215" t="str">
            <v>PIMGOPT2PRS</v>
          </cell>
          <cell r="T215" t="str">
            <v>N/A</v>
          </cell>
          <cell r="U215" t="str">
            <v>N/A</v>
          </cell>
          <cell r="V215" t="str">
            <v>N/A</v>
          </cell>
          <cell r="W215" t="str">
            <v>N/A</v>
          </cell>
          <cell r="X215" t="str">
            <v>N/A</v>
          </cell>
          <cell r="Y215" t="str">
            <v>N/A</v>
          </cell>
          <cell r="Z215" t="str">
            <v>N/A</v>
          </cell>
          <cell r="AA215" t="str">
            <v>N/A</v>
          </cell>
          <cell r="AB215">
            <v>39813</v>
          </cell>
          <cell r="AC215">
            <v>41639</v>
          </cell>
        </row>
        <row r="216">
          <cell r="O216" t="str">
            <v>2-Year PTP with EPRS Tier 1</v>
          </cell>
          <cell r="P216" t="str">
            <v>2-Year PTP with EPRS Tier 1, PIMCO Global Optima</v>
          </cell>
          <cell r="Q216" t="str">
            <v>PIMGOPT</v>
          </cell>
          <cell r="R216" t="str">
            <v>2EPRST1</v>
          </cell>
          <cell r="S216" t="str">
            <v>PIMGOPT2EPRST1</v>
          </cell>
          <cell r="T216" t="str">
            <v>N/A</v>
          </cell>
          <cell r="U216" t="str">
            <v>N/A</v>
          </cell>
          <cell r="V216" t="str">
            <v>N/A</v>
          </cell>
          <cell r="W216" t="str">
            <v>N/A</v>
          </cell>
          <cell r="X216" t="str">
            <v>N/A</v>
          </cell>
          <cell r="Y216" t="str">
            <v>N/A</v>
          </cell>
          <cell r="Z216" t="str">
            <v>N/A</v>
          </cell>
          <cell r="AA216" t="str">
            <v>N/A</v>
          </cell>
          <cell r="AB216">
            <v>39813</v>
          </cell>
          <cell r="AC216">
            <v>41639</v>
          </cell>
        </row>
        <row r="217">
          <cell r="O217" t="str">
            <v>2-Year PTP with EPRS Tier 2</v>
          </cell>
          <cell r="P217" t="str">
            <v>2-Year PTP with EPRS Tier 2, PIMCO Global Optima</v>
          </cell>
          <cell r="Q217" t="str">
            <v>PIMGOPT</v>
          </cell>
          <cell r="R217" t="str">
            <v>2EPRST2</v>
          </cell>
          <cell r="S217" t="str">
            <v>PIMGOPT2EPRST2</v>
          </cell>
          <cell r="T217" t="str">
            <v>N/A</v>
          </cell>
          <cell r="U217" t="str">
            <v>N/A</v>
          </cell>
          <cell r="V217" t="str">
            <v>N/A</v>
          </cell>
          <cell r="W217" t="str">
            <v>N/A</v>
          </cell>
          <cell r="X217" t="str">
            <v>N/A</v>
          </cell>
          <cell r="Y217" t="str">
            <v>N/A</v>
          </cell>
          <cell r="Z217" t="str">
            <v>N/A</v>
          </cell>
          <cell r="AA217" t="str">
            <v>N/A</v>
          </cell>
          <cell r="AB217">
            <v>39813</v>
          </cell>
          <cell r="AC217">
            <v>41639</v>
          </cell>
        </row>
        <row r="218">
          <cell r="O218" t="str">
            <v>5-Year PTP with Cap</v>
          </cell>
          <cell r="P218" t="str">
            <v>5-Year PTP with Cap, PIMCO Global Optima</v>
          </cell>
          <cell r="Q218" t="str">
            <v>PIMGOPT</v>
          </cell>
          <cell r="R218" t="str">
            <v>5C</v>
          </cell>
          <cell r="S218" t="str">
            <v>PIMGOPT5C</v>
          </cell>
          <cell r="T218" t="str">
            <v>N/A</v>
          </cell>
          <cell r="U218" t="str">
            <v>N/A</v>
          </cell>
          <cell r="V218" t="str">
            <v>N/A</v>
          </cell>
          <cell r="W218" t="str">
            <v>N/A</v>
          </cell>
          <cell r="X218" t="str">
            <v>N/A</v>
          </cell>
          <cell r="Y218" t="str">
            <v>N/A</v>
          </cell>
          <cell r="Z218" t="str">
            <v>N/A</v>
          </cell>
          <cell r="AA218" t="str">
            <v>N/A</v>
          </cell>
          <cell r="AB218">
            <v>39813</v>
          </cell>
          <cell r="AC218">
            <v>41639</v>
          </cell>
        </row>
        <row r="219">
          <cell r="N219" t="str">
            <v>Invesco New Economy</v>
          </cell>
          <cell r="O219" t="str">
            <v>1-Year PTP with Cap</v>
          </cell>
          <cell r="P219" t="str">
            <v>1-Year PTP with Cap, Invesco New Economy</v>
          </cell>
          <cell r="Q219" t="str">
            <v>IINEWEC</v>
          </cell>
          <cell r="R219" t="str">
            <v>1C</v>
          </cell>
          <cell r="S219" t="str">
            <v>IINEWEC1C</v>
          </cell>
          <cell r="T219" t="str">
            <v>N/A</v>
          </cell>
          <cell r="U219" t="str">
            <v>N/A</v>
          </cell>
          <cell r="V219" t="str">
            <v>N/A</v>
          </cell>
          <cell r="W219" t="str">
            <v>N/A</v>
          </cell>
          <cell r="X219" t="str">
            <v>N/A</v>
          </cell>
          <cell r="Y219" t="str">
            <v>N/A</v>
          </cell>
          <cell r="Z219" t="str">
            <v>N/A</v>
          </cell>
          <cell r="AA219" t="str">
            <v>N/A</v>
          </cell>
          <cell r="AB219">
            <v>40543</v>
          </cell>
          <cell r="AC219">
            <v>38717</v>
          </cell>
        </row>
        <row r="220">
          <cell r="O220" t="str">
            <v>1-Year PTP with Secure Cap</v>
          </cell>
          <cell r="P220" t="str">
            <v>1-Year PTP with Secure Cap, Invesco New Economy</v>
          </cell>
          <cell r="Q220" t="str">
            <v>IINEWEC</v>
          </cell>
          <cell r="R220" t="str">
            <v>1SC</v>
          </cell>
          <cell r="S220" t="str">
            <v>IINEWEC1SC</v>
          </cell>
          <cell r="T220" t="str">
            <v>N/A</v>
          </cell>
          <cell r="U220" t="str">
            <v>N/A</v>
          </cell>
          <cell r="V220" t="str">
            <v>N/A</v>
          </cell>
          <cell r="W220" t="str">
            <v>N/A</v>
          </cell>
          <cell r="X220" t="str">
            <v>N/A</v>
          </cell>
          <cell r="Y220" t="str">
            <v>N/A</v>
          </cell>
          <cell r="Z220" t="str">
            <v>N/A</v>
          </cell>
          <cell r="AA220" t="str">
            <v>N/A</v>
          </cell>
          <cell r="AB220">
            <v>40543</v>
          </cell>
          <cell r="AC220">
            <v>38717</v>
          </cell>
        </row>
        <row r="221">
          <cell r="O221" t="str">
            <v>1-Year PTP with ParRate</v>
          </cell>
          <cell r="P221" t="str">
            <v>1-Year PTP with ParRate, Invesco New Economy</v>
          </cell>
          <cell r="Q221" t="str">
            <v>IINEWEC</v>
          </cell>
          <cell r="R221" t="str">
            <v>1PR</v>
          </cell>
          <cell r="S221" t="str">
            <v>IINEWEC1PR</v>
          </cell>
          <cell r="T221" t="str">
            <v>N/A</v>
          </cell>
          <cell r="U221" t="str">
            <v>N/A</v>
          </cell>
          <cell r="V221" t="str">
            <v>N/A</v>
          </cell>
          <cell r="W221" t="str">
            <v>N/A</v>
          </cell>
          <cell r="X221" t="str">
            <v>N/A</v>
          </cell>
          <cell r="Y221" t="str">
            <v>N/A</v>
          </cell>
          <cell r="Z221" t="str">
            <v>N/A</v>
          </cell>
          <cell r="AA221" t="str">
            <v>N/A</v>
          </cell>
          <cell r="AB221">
            <v>40543</v>
          </cell>
          <cell r="AC221">
            <v>38717</v>
          </cell>
        </row>
        <row r="222">
          <cell r="O222" t="str">
            <v>1-Year PTP with Secure ParRate</v>
          </cell>
          <cell r="P222" t="str">
            <v>1-Year PTP with Secure ParRate, Invesco New Economy</v>
          </cell>
          <cell r="Q222" t="str">
            <v>IINEWEC</v>
          </cell>
          <cell r="R222" t="str">
            <v>1SPR</v>
          </cell>
          <cell r="S222" t="str">
            <v>IINEWEC1SPR</v>
          </cell>
          <cell r="T222" t="str">
            <v>N/A</v>
          </cell>
          <cell r="U222" t="str">
            <v>N/A</v>
          </cell>
          <cell r="V222" t="str">
            <v>N/A</v>
          </cell>
          <cell r="W222" t="str">
            <v>N/A</v>
          </cell>
          <cell r="X222" t="str">
            <v>N/A</v>
          </cell>
          <cell r="Y222" t="str">
            <v>N/A</v>
          </cell>
          <cell r="Z222" t="str">
            <v>N/A</v>
          </cell>
          <cell r="AA222" t="str">
            <v>N/A</v>
          </cell>
          <cell r="AB222">
            <v>40543</v>
          </cell>
          <cell r="AC222">
            <v>38717</v>
          </cell>
        </row>
        <row r="223">
          <cell r="O223" t="str">
            <v>1-Year Performance-Triggered Account</v>
          </cell>
          <cell r="P223" t="str">
            <v>1-Year Performance-Triggered Account, Invesco New Economy</v>
          </cell>
          <cell r="Q223" t="str">
            <v>IINEWEC</v>
          </cell>
          <cell r="R223" t="str">
            <v>1PT</v>
          </cell>
          <cell r="S223" t="str">
            <v>IINEWEC1PT</v>
          </cell>
          <cell r="T223" t="str">
            <v>N/A</v>
          </cell>
          <cell r="U223" t="str">
            <v>N/A</v>
          </cell>
          <cell r="V223" t="str">
            <v>N/A</v>
          </cell>
          <cell r="W223" t="str">
            <v>N/A</v>
          </cell>
          <cell r="X223" t="str">
            <v>N/A</v>
          </cell>
          <cell r="Y223" t="str">
            <v>N/A</v>
          </cell>
          <cell r="Z223" t="str">
            <v>N/A</v>
          </cell>
          <cell r="AA223" t="str">
            <v>N/A</v>
          </cell>
          <cell r="AB223">
            <v>40543</v>
          </cell>
          <cell r="AC223">
            <v>38717</v>
          </cell>
        </row>
        <row r="224">
          <cell r="O224" t="str">
            <v>1-Year PTP with Spread</v>
          </cell>
          <cell r="P224" t="str">
            <v>1-Year PTP with Spread, Invesco New Economy</v>
          </cell>
          <cell r="Q224" t="str">
            <v>IINEWEC</v>
          </cell>
          <cell r="R224" t="str">
            <v>1S</v>
          </cell>
          <cell r="S224" t="str">
            <v>IINEWEC1S</v>
          </cell>
          <cell r="T224" t="str">
            <v>N/A</v>
          </cell>
          <cell r="U224" t="str">
            <v>N/A</v>
          </cell>
          <cell r="V224" t="str">
            <v>N/A</v>
          </cell>
          <cell r="W224" t="str">
            <v>N/A</v>
          </cell>
          <cell r="X224" t="str">
            <v>N/A</v>
          </cell>
          <cell r="Y224" t="str">
            <v>N/A</v>
          </cell>
          <cell r="Z224" t="str">
            <v>N/A</v>
          </cell>
          <cell r="AA224" t="str">
            <v>N/A</v>
          </cell>
          <cell r="AB224">
            <v>40543</v>
          </cell>
          <cell r="AC224">
            <v>38717</v>
          </cell>
        </row>
        <row r="225">
          <cell r="O225" t="str">
            <v>1-Year PTP with ParRate &amp; Cap</v>
          </cell>
          <cell r="P225" t="str">
            <v>1-Year PTP with ParRate &amp; Cap, Invesco New Economy</v>
          </cell>
          <cell r="Q225" t="str">
            <v>IINEWEC</v>
          </cell>
          <cell r="R225" t="str">
            <v>1PRC</v>
          </cell>
          <cell r="S225" t="str">
            <v>IINEWEC1PRC</v>
          </cell>
          <cell r="T225" t="str">
            <v>N/A</v>
          </cell>
          <cell r="U225" t="str">
            <v>N/A</v>
          </cell>
          <cell r="V225" t="str">
            <v>N/A</v>
          </cell>
          <cell r="W225" t="str">
            <v>N/A</v>
          </cell>
          <cell r="X225" t="str">
            <v>N/A</v>
          </cell>
          <cell r="Y225" t="str">
            <v>N/A</v>
          </cell>
          <cell r="Z225" t="str">
            <v>N/A</v>
          </cell>
          <cell r="AA225" t="str">
            <v>N/A</v>
          </cell>
          <cell r="AB225">
            <v>40543</v>
          </cell>
          <cell r="AC225">
            <v>38717</v>
          </cell>
        </row>
        <row r="226">
          <cell r="O226" t="str">
            <v>1-Year PTP with ParRate &amp; Spread</v>
          </cell>
          <cell r="P226" t="str">
            <v>1-Year PTP with ParRate &amp; Spread, Invesco New Economy</v>
          </cell>
          <cell r="Q226" t="str">
            <v>IINEWEC</v>
          </cell>
          <cell r="R226" t="str">
            <v>1PRS</v>
          </cell>
          <cell r="S226" t="str">
            <v>IINEWEC1PRS</v>
          </cell>
          <cell r="T226" t="str">
            <v>N/A</v>
          </cell>
          <cell r="U226" t="str">
            <v>N/A</v>
          </cell>
          <cell r="V226" t="str">
            <v>N/A</v>
          </cell>
          <cell r="W226" t="str">
            <v>N/A</v>
          </cell>
          <cell r="X226" t="str">
            <v>N/A</v>
          </cell>
          <cell r="Y226" t="str">
            <v>N/A</v>
          </cell>
          <cell r="Z226" t="str">
            <v>N/A</v>
          </cell>
          <cell r="AA226" t="str">
            <v>N/A</v>
          </cell>
          <cell r="AB226">
            <v>40543</v>
          </cell>
          <cell r="AC226">
            <v>38717</v>
          </cell>
        </row>
        <row r="227">
          <cell r="O227" t="str">
            <v>1-Year PTP with EPRS Tier 1</v>
          </cell>
          <cell r="P227" t="str">
            <v>1-Year PTP with EPRS Tier 1, Invesco New Economy</v>
          </cell>
          <cell r="Q227" t="str">
            <v>IINEWEC</v>
          </cell>
          <cell r="R227" t="str">
            <v>1EPRST1</v>
          </cell>
          <cell r="S227" t="str">
            <v>IINEWEC1EPRST1</v>
          </cell>
          <cell r="T227" t="str">
            <v>N/A</v>
          </cell>
          <cell r="U227" t="str">
            <v>N/A</v>
          </cell>
          <cell r="V227" t="str">
            <v>N/A</v>
          </cell>
          <cell r="W227" t="str">
            <v>N/A</v>
          </cell>
          <cell r="X227" t="str">
            <v>N/A</v>
          </cell>
          <cell r="Y227" t="str">
            <v>N/A</v>
          </cell>
          <cell r="Z227" t="str">
            <v>N/A</v>
          </cell>
          <cell r="AA227" t="str">
            <v>N/A</v>
          </cell>
          <cell r="AB227">
            <v>40543</v>
          </cell>
          <cell r="AC227">
            <v>38717</v>
          </cell>
        </row>
        <row r="228">
          <cell r="O228" t="str">
            <v>1-Year PTP with EPRS Tier 2</v>
          </cell>
          <cell r="P228" t="str">
            <v>1-Year PTP with EPRS Tier 2, Invesco New Economy</v>
          </cell>
          <cell r="Q228" t="str">
            <v>IINEWEC</v>
          </cell>
          <cell r="R228" t="str">
            <v>1EPRST2</v>
          </cell>
          <cell r="S228" t="str">
            <v>IINEWEC1EPRST2</v>
          </cell>
          <cell r="T228" t="str">
            <v>N/A</v>
          </cell>
          <cell r="U228" t="str">
            <v>N/A</v>
          </cell>
          <cell r="V228" t="str">
            <v>N/A</v>
          </cell>
          <cell r="W228" t="str">
            <v>N/A</v>
          </cell>
          <cell r="X228" t="str">
            <v>N/A</v>
          </cell>
          <cell r="Y228" t="str">
            <v>N/A</v>
          </cell>
          <cell r="Z228" t="str">
            <v>N/A</v>
          </cell>
          <cell r="AA228" t="str">
            <v>N/A</v>
          </cell>
          <cell r="AB228">
            <v>40543</v>
          </cell>
          <cell r="AC228">
            <v>38717</v>
          </cell>
        </row>
        <row r="229">
          <cell r="O229" t="str">
            <v>2-Year PTP with Cap</v>
          </cell>
          <cell r="P229" t="str">
            <v>2-Year PTP with Cap, Invesco New Economy</v>
          </cell>
          <cell r="Q229" t="str">
            <v>IINEWEC</v>
          </cell>
          <cell r="R229" t="str">
            <v>2C</v>
          </cell>
          <cell r="S229" t="str">
            <v>IINEWEC2C</v>
          </cell>
          <cell r="T229" t="str">
            <v>N/A</v>
          </cell>
          <cell r="U229" t="str">
            <v>N/A</v>
          </cell>
          <cell r="V229" t="str">
            <v>N/A</v>
          </cell>
          <cell r="W229" t="str">
            <v>N/A</v>
          </cell>
          <cell r="X229" t="str">
            <v>N/A</v>
          </cell>
          <cell r="Y229" t="str">
            <v>N/A</v>
          </cell>
          <cell r="Z229" t="str">
            <v>N/A</v>
          </cell>
          <cell r="AA229" t="str">
            <v>N/A</v>
          </cell>
          <cell r="AB229">
            <v>40543</v>
          </cell>
          <cell r="AC229">
            <v>38717</v>
          </cell>
        </row>
        <row r="230">
          <cell r="O230" t="str">
            <v>2-Year PTP with ParRate</v>
          </cell>
          <cell r="P230" t="str">
            <v>2-Year PTP with ParRate, Invesco New Economy</v>
          </cell>
          <cell r="Q230" t="str">
            <v>IINEWEC</v>
          </cell>
          <cell r="R230" t="str">
            <v>2PR</v>
          </cell>
          <cell r="S230" t="str">
            <v>IINEWEC2PR</v>
          </cell>
          <cell r="T230" t="str">
            <v>N/A</v>
          </cell>
          <cell r="U230" t="str">
            <v>N/A</v>
          </cell>
          <cell r="V230" t="str">
            <v>N/A</v>
          </cell>
          <cell r="W230" t="str">
            <v>N/A</v>
          </cell>
          <cell r="X230" t="str">
            <v>N/A</v>
          </cell>
          <cell r="Y230" t="str">
            <v>N/A</v>
          </cell>
          <cell r="Z230" t="str">
            <v>N/A</v>
          </cell>
          <cell r="AA230" t="str">
            <v>N/A</v>
          </cell>
          <cell r="AB230">
            <v>40543</v>
          </cell>
          <cell r="AC230">
            <v>38717</v>
          </cell>
        </row>
        <row r="231">
          <cell r="O231" t="str">
            <v>2-Year PTP with Spread</v>
          </cell>
          <cell r="P231" t="str">
            <v>2-Year PTP with Spread, Invesco New Economy</v>
          </cell>
          <cell r="Q231" t="str">
            <v>IINEWEC</v>
          </cell>
          <cell r="R231" t="str">
            <v>2S</v>
          </cell>
          <cell r="S231" t="str">
            <v>IINEWEC2S</v>
          </cell>
          <cell r="T231" t="str">
            <v>N/A</v>
          </cell>
          <cell r="U231" t="str">
            <v>N/A</v>
          </cell>
          <cell r="V231" t="str">
            <v>N/A</v>
          </cell>
          <cell r="W231" t="str">
            <v>N/A</v>
          </cell>
          <cell r="X231" t="str">
            <v>N/A</v>
          </cell>
          <cell r="Y231" t="str">
            <v>N/A</v>
          </cell>
          <cell r="Z231" t="str">
            <v>N/A</v>
          </cell>
          <cell r="AA231" t="str">
            <v>N/A</v>
          </cell>
          <cell r="AB231">
            <v>40543</v>
          </cell>
          <cell r="AC231">
            <v>38717</v>
          </cell>
        </row>
        <row r="232">
          <cell r="O232" t="str">
            <v>2-Year PTP with ParRate &amp; Spread</v>
          </cell>
          <cell r="P232" t="str">
            <v>2-Year PTP with ParRate &amp; Spread, Invesco New Economy</v>
          </cell>
          <cell r="Q232" t="str">
            <v>IINEWEC</v>
          </cell>
          <cell r="R232" t="str">
            <v>2PRS</v>
          </cell>
          <cell r="S232" t="str">
            <v>IINEWEC2PRS</v>
          </cell>
          <cell r="T232" t="str">
            <v>N/A</v>
          </cell>
          <cell r="U232" t="str">
            <v>N/A</v>
          </cell>
          <cell r="V232" t="str">
            <v>N/A</v>
          </cell>
          <cell r="W232" t="str">
            <v>N/A</v>
          </cell>
          <cell r="X232" t="str">
            <v>N/A</v>
          </cell>
          <cell r="Y232" t="str">
            <v>N/A</v>
          </cell>
          <cell r="Z232" t="str">
            <v>N/A</v>
          </cell>
          <cell r="AA232" t="str">
            <v>N/A</v>
          </cell>
          <cell r="AB232">
            <v>40543</v>
          </cell>
          <cell r="AC232">
            <v>38717</v>
          </cell>
        </row>
        <row r="233">
          <cell r="O233" t="str">
            <v>2-Year PTP with EPRS Tier 1</v>
          </cell>
          <cell r="P233" t="str">
            <v>2-Year PTP with EPRS Tier 1, Invesco New Economy</v>
          </cell>
          <cell r="Q233" t="str">
            <v>IINEWEC</v>
          </cell>
          <cell r="R233" t="str">
            <v>2EPRST1</v>
          </cell>
          <cell r="S233" t="str">
            <v>IINEWEC2EPRST1</v>
          </cell>
          <cell r="T233" t="str">
            <v>N/A</v>
          </cell>
          <cell r="U233" t="str">
            <v>N/A</v>
          </cell>
          <cell r="V233" t="str">
            <v>N/A</v>
          </cell>
          <cell r="W233" t="str">
            <v>N/A</v>
          </cell>
          <cell r="X233" t="str">
            <v>N/A</v>
          </cell>
          <cell r="Y233" t="str">
            <v>N/A</v>
          </cell>
          <cell r="Z233" t="str">
            <v>N/A</v>
          </cell>
          <cell r="AA233" t="str">
            <v>N/A</v>
          </cell>
          <cell r="AB233">
            <v>40543</v>
          </cell>
          <cell r="AC233">
            <v>38717</v>
          </cell>
        </row>
        <row r="234">
          <cell r="O234" t="str">
            <v>2-Year PTP with EPRS Tier 2</v>
          </cell>
          <cell r="P234" t="str">
            <v>2-Year PTP with EPRS Tier 2, Invesco New Economy</v>
          </cell>
          <cell r="Q234" t="str">
            <v>IINEWEC</v>
          </cell>
          <cell r="R234" t="str">
            <v>2EPRST2</v>
          </cell>
          <cell r="S234" t="str">
            <v>IINEWEC2EPRST2</v>
          </cell>
          <cell r="T234" t="str">
            <v>N/A</v>
          </cell>
          <cell r="U234" t="str">
            <v>N/A</v>
          </cell>
          <cell r="V234" t="str">
            <v>N/A</v>
          </cell>
          <cell r="W234" t="str">
            <v>N/A</v>
          </cell>
          <cell r="X234" t="str">
            <v>N/A</v>
          </cell>
          <cell r="Y234" t="str">
            <v>N/A</v>
          </cell>
          <cell r="Z234" t="str">
            <v>N/A</v>
          </cell>
          <cell r="AA234" t="str">
            <v>N/A</v>
          </cell>
          <cell r="AB234">
            <v>40543</v>
          </cell>
          <cell r="AC234">
            <v>38717</v>
          </cell>
        </row>
        <row r="235">
          <cell r="O235" t="str">
            <v>5-Year PTP with Cap</v>
          </cell>
          <cell r="P235" t="str">
            <v>5-Year PTP with Cap, Invesco New Economy</v>
          </cell>
          <cell r="Q235" t="str">
            <v>IINEWEC</v>
          </cell>
          <cell r="R235" t="str">
            <v>5C</v>
          </cell>
          <cell r="S235" t="str">
            <v>IINEWEC5C</v>
          </cell>
          <cell r="T235" t="str">
            <v>N/A</v>
          </cell>
          <cell r="U235" t="str">
            <v>N/A</v>
          </cell>
          <cell r="V235" t="str">
            <v>N/A</v>
          </cell>
          <cell r="W235" t="str">
            <v>N/A</v>
          </cell>
          <cell r="X235" t="str">
            <v>N/A</v>
          </cell>
          <cell r="Y235" t="str">
            <v>N/A</v>
          </cell>
          <cell r="Z235" t="str">
            <v>N/A</v>
          </cell>
          <cell r="AA235" t="str">
            <v>N/A</v>
          </cell>
          <cell r="AB235">
            <v>40543</v>
          </cell>
          <cell r="AC235">
            <v>38717</v>
          </cell>
        </row>
        <row r="236">
          <cell r="N236" t="str">
            <v>S&amp;P 500 VC</v>
          </cell>
          <cell r="O236" t="str">
            <v>1-Year PTP with Cap</v>
          </cell>
          <cell r="P236" t="str">
            <v>1-Year PTP with Cap, S&amp;P 500 VC</v>
          </cell>
          <cell r="Q236" t="str">
            <v>SPXVC</v>
          </cell>
          <cell r="R236" t="str">
            <v>1C</v>
          </cell>
          <cell r="S236" t="str">
            <v>SPXVC1C</v>
          </cell>
          <cell r="T236" t="str">
            <v>N/A</v>
          </cell>
          <cell r="U236" t="str">
            <v>N/A</v>
          </cell>
          <cell r="V236" t="str">
            <v>N/A</v>
          </cell>
          <cell r="W236" t="str">
            <v>N/A</v>
          </cell>
          <cell r="X236" t="str">
            <v>N/A</v>
          </cell>
          <cell r="Y236" t="str">
            <v>N/A</v>
          </cell>
          <cell r="Z236" t="str">
            <v>N/A</v>
          </cell>
          <cell r="AA236" t="str">
            <v>N/A</v>
          </cell>
          <cell r="AB236">
            <v>40908</v>
          </cell>
          <cell r="AC236">
            <v>39082</v>
          </cell>
        </row>
        <row r="237">
          <cell r="O237" t="str">
            <v>1-Year PTP with Secure Cap</v>
          </cell>
          <cell r="P237" t="str">
            <v>1-Year PTP with Secure Cap, S&amp;P 500 VC</v>
          </cell>
          <cell r="Q237" t="str">
            <v>SPXVC</v>
          </cell>
          <cell r="R237" t="str">
            <v>1SC</v>
          </cell>
          <cell r="S237" t="str">
            <v>SPXVC1SC</v>
          </cell>
          <cell r="T237" t="str">
            <v>N/A</v>
          </cell>
          <cell r="U237" t="str">
            <v>N/A</v>
          </cell>
          <cell r="V237" t="str">
            <v>N/A</v>
          </cell>
          <cell r="W237" t="str">
            <v>N/A</v>
          </cell>
          <cell r="X237" t="str">
            <v>N/A</v>
          </cell>
          <cell r="Y237" t="str">
            <v>N/A</v>
          </cell>
          <cell r="Z237" t="str">
            <v>N/A</v>
          </cell>
          <cell r="AA237" t="str">
            <v>N/A</v>
          </cell>
          <cell r="AB237">
            <v>40908</v>
          </cell>
          <cell r="AC237">
            <v>39082</v>
          </cell>
        </row>
        <row r="238">
          <cell r="O238" t="str">
            <v>1-Year PTP with ParRate</v>
          </cell>
          <cell r="P238" t="str">
            <v>1-Year PTP with ParRate, S&amp;P 500 VC</v>
          </cell>
          <cell r="Q238" t="str">
            <v>SPXVC</v>
          </cell>
          <cell r="R238" t="str">
            <v>1PR</v>
          </cell>
          <cell r="S238" t="str">
            <v>SPXVC1PR</v>
          </cell>
          <cell r="T238" t="str">
            <v>N/A</v>
          </cell>
          <cell r="U238" t="str">
            <v>N/A</v>
          </cell>
          <cell r="V238" t="str">
            <v>N/A</v>
          </cell>
          <cell r="W238" t="str">
            <v>N/A</v>
          </cell>
          <cell r="X238" t="str">
            <v>N/A</v>
          </cell>
          <cell r="Y238" t="str">
            <v>N/A</v>
          </cell>
          <cell r="Z238" t="str">
            <v>N/A</v>
          </cell>
          <cell r="AA238" t="str">
            <v>N/A</v>
          </cell>
          <cell r="AB238">
            <v>40908</v>
          </cell>
          <cell r="AC238">
            <v>39082</v>
          </cell>
        </row>
        <row r="239">
          <cell r="O239" t="str">
            <v>1-Year PTP with Secure ParRate</v>
          </cell>
          <cell r="P239" t="str">
            <v>1-Year PTP with Secure ParRate, S&amp;P 500 VC</v>
          </cell>
          <cell r="Q239" t="str">
            <v>SPXVC</v>
          </cell>
          <cell r="R239" t="str">
            <v>1SPR</v>
          </cell>
          <cell r="S239" t="str">
            <v>SPXVC1SPR</v>
          </cell>
          <cell r="T239" t="str">
            <v>N/A</v>
          </cell>
          <cell r="U239" t="str">
            <v>N/A</v>
          </cell>
          <cell r="V239" t="str">
            <v>N/A</v>
          </cell>
          <cell r="W239" t="str">
            <v>N/A</v>
          </cell>
          <cell r="X239" t="str">
            <v>N/A</v>
          </cell>
          <cell r="Y239" t="str">
            <v>N/A</v>
          </cell>
          <cell r="Z239" t="str">
            <v>N/A</v>
          </cell>
          <cell r="AA239" t="str">
            <v>N/A</v>
          </cell>
          <cell r="AB239">
            <v>40908</v>
          </cell>
          <cell r="AC239">
            <v>39082</v>
          </cell>
        </row>
        <row r="240">
          <cell r="O240" t="str">
            <v>1-Year Performance-Triggered Account</v>
          </cell>
          <cell r="P240" t="str">
            <v>1-Year Performance-Triggered Account, S&amp;P 500 VC</v>
          </cell>
          <cell r="Q240" t="str">
            <v>SPXVC</v>
          </cell>
          <cell r="R240" t="str">
            <v>1PT</v>
          </cell>
          <cell r="S240" t="str">
            <v>SPXVC1PT</v>
          </cell>
          <cell r="T240" t="str">
            <v>N/A</v>
          </cell>
          <cell r="U240" t="str">
            <v>N/A</v>
          </cell>
          <cell r="V240" t="str">
            <v>N/A</v>
          </cell>
          <cell r="W240" t="str">
            <v>N/A</v>
          </cell>
          <cell r="X240" t="str">
            <v>N/A</v>
          </cell>
          <cell r="Y240" t="str">
            <v>N/A</v>
          </cell>
          <cell r="Z240" t="str">
            <v>N/A</v>
          </cell>
          <cell r="AA240" t="str">
            <v>N/A</v>
          </cell>
          <cell r="AB240">
            <v>40908</v>
          </cell>
          <cell r="AC240">
            <v>39082</v>
          </cell>
        </row>
        <row r="241">
          <cell r="O241" t="str">
            <v>1-Year PTP with Spread</v>
          </cell>
          <cell r="P241" t="str">
            <v>1-Year PTP with Spread, S&amp;P 500 VC</v>
          </cell>
          <cell r="Q241" t="str">
            <v>SPXVC</v>
          </cell>
          <cell r="R241" t="str">
            <v>1S</v>
          </cell>
          <cell r="S241" t="str">
            <v>SPXVC1S</v>
          </cell>
          <cell r="T241" t="str">
            <v>N/A</v>
          </cell>
          <cell r="U241" t="str">
            <v>N/A</v>
          </cell>
          <cell r="V241" t="str">
            <v>N/A</v>
          </cell>
          <cell r="W241" t="str">
            <v>N/A</v>
          </cell>
          <cell r="X241" t="str">
            <v>N/A</v>
          </cell>
          <cell r="Y241" t="str">
            <v>N/A</v>
          </cell>
          <cell r="Z241" t="str">
            <v>N/A</v>
          </cell>
          <cell r="AA241" t="str">
            <v>N/A</v>
          </cell>
          <cell r="AB241">
            <v>40908</v>
          </cell>
          <cell r="AC241">
            <v>39082</v>
          </cell>
        </row>
        <row r="242">
          <cell r="O242" t="str">
            <v>1-Year PTP with ParRate &amp; Cap</v>
          </cell>
          <cell r="P242" t="str">
            <v>1-Year PTP with ParRate &amp; Cap, S&amp;P 500 VC</v>
          </cell>
          <cell r="Q242" t="str">
            <v>SPXVC</v>
          </cell>
          <cell r="R242" t="str">
            <v>1PRC</v>
          </cell>
          <cell r="S242" t="str">
            <v>SPXVC1PRC</v>
          </cell>
          <cell r="T242" t="str">
            <v>N/A</v>
          </cell>
          <cell r="U242" t="str">
            <v>N/A</v>
          </cell>
          <cell r="V242" t="str">
            <v>N/A</v>
          </cell>
          <cell r="W242" t="str">
            <v>N/A</v>
          </cell>
          <cell r="X242" t="str">
            <v>N/A</v>
          </cell>
          <cell r="Y242" t="str">
            <v>N/A</v>
          </cell>
          <cell r="Z242" t="str">
            <v>N/A</v>
          </cell>
          <cell r="AA242" t="str">
            <v>N/A</v>
          </cell>
          <cell r="AB242">
            <v>40908</v>
          </cell>
          <cell r="AC242">
            <v>39082</v>
          </cell>
        </row>
        <row r="243">
          <cell r="O243" t="str">
            <v>1-Year PTP with ParRate &amp; Spread</v>
          </cell>
          <cell r="P243" t="str">
            <v>1-Year PTP with ParRate &amp; Spread, S&amp;P 500 VC</v>
          </cell>
          <cell r="Q243" t="str">
            <v>SPXVC</v>
          </cell>
          <cell r="R243" t="str">
            <v>1PRS</v>
          </cell>
          <cell r="S243" t="str">
            <v>SPXVC1PRS</v>
          </cell>
          <cell r="T243" t="str">
            <v>N/A</v>
          </cell>
          <cell r="U243" t="str">
            <v>N/A</v>
          </cell>
          <cell r="V243" t="str">
            <v>N/A</v>
          </cell>
          <cell r="W243" t="str">
            <v>N/A</v>
          </cell>
          <cell r="X243" t="str">
            <v>N/A</v>
          </cell>
          <cell r="Y243" t="str">
            <v>N/A</v>
          </cell>
          <cell r="Z243" t="str">
            <v>N/A</v>
          </cell>
          <cell r="AA243" t="str">
            <v>N/A</v>
          </cell>
          <cell r="AB243">
            <v>40908</v>
          </cell>
          <cell r="AC243">
            <v>39082</v>
          </cell>
        </row>
        <row r="244">
          <cell r="O244" t="str">
            <v>1-Year PTP with EPRS Tier 1</v>
          </cell>
          <cell r="P244" t="str">
            <v>1-Year PTP with EPRS Tier 1, S&amp;P 500 VC</v>
          </cell>
          <cell r="Q244" t="str">
            <v>SPXVC</v>
          </cell>
          <cell r="R244" t="str">
            <v>1EPRST1</v>
          </cell>
          <cell r="S244" t="str">
            <v>SPXVC1EPRST1</v>
          </cell>
          <cell r="T244" t="str">
            <v>N/A</v>
          </cell>
          <cell r="U244" t="str">
            <v>N/A</v>
          </cell>
          <cell r="V244" t="str">
            <v>N/A</v>
          </cell>
          <cell r="W244" t="str">
            <v>N/A</v>
          </cell>
          <cell r="X244" t="str">
            <v>N/A</v>
          </cell>
          <cell r="Y244" t="str">
            <v>N/A</v>
          </cell>
          <cell r="Z244" t="str">
            <v>N/A</v>
          </cell>
          <cell r="AA244" t="str">
            <v>N/A</v>
          </cell>
          <cell r="AB244">
            <v>40908</v>
          </cell>
          <cell r="AC244">
            <v>39082</v>
          </cell>
        </row>
        <row r="245">
          <cell r="O245" t="str">
            <v>1-Year PTP with EPRS Tier 2</v>
          </cell>
          <cell r="P245" t="str">
            <v>1-Year PTP with EPRS Tier 2, S&amp;P 500 VC</v>
          </cell>
          <cell r="Q245" t="str">
            <v>SPXVC</v>
          </cell>
          <cell r="R245" t="str">
            <v>1EPRST2</v>
          </cell>
          <cell r="S245" t="str">
            <v>SPXVC1EPRST2</v>
          </cell>
          <cell r="T245" t="str">
            <v>N/A</v>
          </cell>
          <cell r="U245" t="str">
            <v>N/A</v>
          </cell>
          <cell r="V245" t="str">
            <v>N/A</v>
          </cell>
          <cell r="W245" t="str">
            <v>N/A</v>
          </cell>
          <cell r="X245" t="str">
            <v>N/A</v>
          </cell>
          <cell r="Y245" t="str">
            <v>N/A</v>
          </cell>
          <cell r="Z245" t="str">
            <v>N/A</v>
          </cell>
          <cell r="AA245" t="str">
            <v>N/A</v>
          </cell>
          <cell r="AB245">
            <v>40908</v>
          </cell>
          <cell r="AC245">
            <v>39082</v>
          </cell>
        </row>
        <row r="246">
          <cell r="O246" t="str">
            <v>2-Year PTP with Cap</v>
          </cell>
          <cell r="P246" t="str">
            <v>2-Year PTP with Cap, S&amp;P 500 VC</v>
          </cell>
          <cell r="Q246" t="str">
            <v>SPXVC</v>
          </cell>
          <cell r="R246" t="str">
            <v>2C</v>
          </cell>
          <cell r="S246" t="str">
            <v>SPXVC2C</v>
          </cell>
          <cell r="T246" t="str">
            <v>N/A</v>
          </cell>
          <cell r="U246" t="str">
            <v>N/A</v>
          </cell>
          <cell r="V246" t="str">
            <v>N/A</v>
          </cell>
          <cell r="W246" t="str">
            <v>N/A</v>
          </cell>
          <cell r="X246" t="str">
            <v>N/A</v>
          </cell>
          <cell r="Y246" t="str">
            <v>N/A</v>
          </cell>
          <cell r="Z246" t="str">
            <v>N/A</v>
          </cell>
          <cell r="AA246" t="str">
            <v>N/A</v>
          </cell>
          <cell r="AB246">
            <v>40908</v>
          </cell>
          <cell r="AC246">
            <v>39082</v>
          </cell>
        </row>
        <row r="247">
          <cell r="O247" t="str">
            <v>2-Year PTP with ParRate</v>
          </cell>
          <cell r="P247" t="str">
            <v>2-Year PTP with ParRate, S&amp;P 500 VC</v>
          </cell>
          <cell r="Q247" t="str">
            <v>SPXVC</v>
          </cell>
          <cell r="R247" t="str">
            <v>2PR</v>
          </cell>
          <cell r="S247" t="str">
            <v>SPXVC2PR</v>
          </cell>
          <cell r="T247" t="str">
            <v>N/A</v>
          </cell>
          <cell r="U247" t="str">
            <v>N/A</v>
          </cell>
          <cell r="V247" t="str">
            <v>N/A</v>
          </cell>
          <cell r="W247" t="str">
            <v>N/A</v>
          </cell>
          <cell r="X247" t="str">
            <v>N/A</v>
          </cell>
          <cell r="Y247" t="str">
            <v>N/A</v>
          </cell>
          <cell r="Z247" t="str">
            <v>N/A</v>
          </cell>
          <cell r="AA247" t="str">
            <v>N/A</v>
          </cell>
          <cell r="AB247">
            <v>40908</v>
          </cell>
          <cell r="AC247">
            <v>39082</v>
          </cell>
        </row>
        <row r="248">
          <cell r="O248" t="str">
            <v>2-Year PTP with Spread</v>
          </cell>
          <cell r="P248" t="str">
            <v>2-Year PTP with Spread, S&amp;P 500 VC</v>
          </cell>
          <cell r="Q248" t="str">
            <v>SPXVC</v>
          </cell>
          <cell r="R248" t="str">
            <v>2S</v>
          </cell>
          <cell r="S248" t="str">
            <v>SPXVC2S</v>
          </cell>
          <cell r="T248" t="str">
            <v>N/A</v>
          </cell>
          <cell r="U248" t="str">
            <v>N/A</v>
          </cell>
          <cell r="V248" t="str">
            <v>N/A</v>
          </cell>
          <cell r="W248" t="str">
            <v>N/A</v>
          </cell>
          <cell r="X248" t="str">
            <v>N/A</v>
          </cell>
          <cell r="Y248" t="str">
            <v>N/A</v>
          </cell>
          <cell r="Z248" t="str">
            <v>N/A</v>
          </cell>
          <cell r="AA248" t="str">
            <v>N/A</v>
          </cell>
          <cell r="AB248">
            <v>40908</v>
          </cell>
          <cell r="AC248">
            <v>39082</v>
          </cell>
        </row>
        <row r="249">
          <cell r="O249" t="str">
            <v>2-Year PTP with ParRate &amp; Spread</v>
          </cell>
          <cell r="P249" t="str">
            <v>2-Year PTP with ParRate &amp; Spread, S&amp;P 500 VC</v>
          </cell>
          <cell r="Q249" t="str">
            <v>SPXVC</v>
          </cell>
          <cell r="R249" t="str">
            <v>2PRS</v>
          </cell>
          <cell r="S249" t="str">
            <v>SPXVC2PRS</v>
          </cell>
          <cell r="T249" t="str">
            <v>N/A</v>
          </cell>
          <cell r="U249" t="str">
            <v>N/A</v>
          </cell>
          <cell r="V249" t="str">
            <v>N/A</v>
          </cell>
          <cell r="W249" t="str">
            <v>N/A</v>
          </cell>
          <cell r="X249" t="str">
            <v>N/A</v>
          </cell>
          <cell r="Y249" t="str">
            <v>N/A</v>
          </cell>
          <cell r="Z249" t="str">
            <v>N/A</v>
          </cell>
          <cell r="AA249" t="str">
            <v>N/A</v>
          </cell>
          <cell r="AB249">
            <v>40908</v>
          </cell>
          <cell r="AC249">
            <v>39082</v>
          </cell>
        </row>
        <row r="250">
          <cell r="O250" t="str">
            <v>2-Year PTP with EPRS Tier 1</v>
          </cell>
          <cell r="P250" t="str">
            <v>2-Year PTP with EPRS Tier 1, S&amp;P 500 VC</v>
          </cell>
          <cell r="Q250" t="str">
            <v>SPXVC</v>
          </cell>
          <cell r="R250" t="str">
            <v>2EPRST1</v>
          </cell>
          <cell r="S250" t="str">
            <v>SPXVC2EPRST1</v>
          </cell>
          <cell r="T250" t="str">
            <v>N/A</v>
          </cell>
          <cell r="U250" t="str">
            <v>N/A</v>
          </cell>
          <cell r="V250" t="str">
            <v>N/A</v>
          </cell>
          <cell r="W250" t="str">
            <v>N/A</v>
          </cell>
          <cell r="X250" t="str">
            <v>N/A</v>
          </cell>
          <cell r="Y250" t="str">
            <v>N/A</v>
          </cell>
          <cell r="Z250" t="str">
            <v>N/A</v>
          </cell>
          <cell r="AA250" t="str">
            <v>N/A</v>
          </cell>
          <cell r="AB250">
            <v>40908</v>
          </cell>
          <cell r="AC250">
            <v>39082</v>
          </cell>
        </row>
        <row r="251">
          <cell r="O251" t="str">
            <v>2-Year PTP with EPRS Tier 2</v>
          </cell>
          <cell r="P251" t="str">
            <v>2-Year PTP with EPRS Tier 2, S&amp;P 500 VC</v>
          </cell>
          <cell r="Q251" t="str">
            <v>SPXVC</v>
          </cell>
          <cell r="R251" t="str">
            <v>2EPRST2</v>
          </cell>
          <cell r="S251" t="str">
            <v>SPXVC2EPRST2</v>
          </cell>
          <cell r="T251" t="str">
            <v>N/A</v>
          </cell>
          <cell r="U251" t="str">
            <v>N/A</v>
          </cell>
          <cell r="V251" t="str">
            <v>N/A</v>
          </cell>
          <cell r="W251" t="str">
            <v>N/A</v>
          </cell>
          <cell r="X251" t="str">
            <v>N/A</v>
          </cell>
          <cell r="Y251" t="str">
            <v>N/A</v>
          </cell>
          <cell r="Z251" t="str">
            <v>N/A</v>
          </cell>
          <cell r="AA251" t="str">
            <v>N/A</v>
          </cell>
          <cell r="AB251">
            <v>40908</v>
          </cell>
          <cell r="AC251">
            <v>39082</v>
          </cell>
        </row>
        <row r="252">
          <cell r="O252" t="str">
            <v>5-Year PTP with Cap</v>
          </cell>
          <cell r="P252" t="str">
            <v>5-Year PTP with Cap, S&amp;P 500 VC</v>
          </cell>
          <cell r="Q252" t="str">
            <v>SPXVC</v>
          </cell>
          <cell r="R252" t="str">
            <v>5C</v>
          </cell>
          <cell r="S252" t="str">
            <v>SPXVC5C</v>
          </cell>
          <cell r="T252" t="str">
            <v>N/A</v>
          </cell>
          <cell r="U252" t="str">
            <v>N/A</v>
          </cell>
          <cell r="V252" t="str">
            <v>N/A</v>
          </cell>
          <cell r="W252" t="str">
            <v>N/A</v>
          </cell>
          <cell r="X252" t="str">
            <v>N/A</v>
          </cell>
          <cell r="Y252" t="str">
            <v>N/A</v>
          </cell>
          <cell r="Z252" t="str">
            <v>N/A</v>
          </cell>
          <cell r="AA252" t="str">
            <v>N/A</v>
          </cell>
          <cell r="AB252">
            <v>40908</v>
          </cell>
          <cell r="AC252">
            <v>39082</v>
          </cell>
        </row>
        <row r="253">
          <cell r="N253" t="str">
            <v>JPM Ascend</v>
          </cell>
          <cell r="O253" t="str">
            <v>1-Year PTP with Cap</v>
          </cell>
          <cell r="P253" t="str">
            <v>1-Year PTP with Cap, JPM Ascend</v>
          </cell>
          <cell r="Q253" t="str">
            <v>JPMAS</v>
          </cell>
          <cell r="R253" t="str">
            <v>1C</v>
          </cell>
          <cell r="S253" t="str">
            <v>JPMAS1C</v>
          </cell>
          <cell r="T253" t="str">
            <v>N/A</v>
          </cell>
          <cell r="U253" t="str">
            <v>N/A</v>
          </cell>
          <cell r="V253" t="str">
            <v>N/A</v>
          </cell>
          <cell r="W253" t="str">
            <v>N/A</v>
          </cell>
          <cell r="X253" t="str">
            <v>N/A</v>
          </cell>
          <cell r="Y253" t="str">
            <v>N/A</v>
          </cell>
          <cell r="Z253" t="str">
            <v>N/A</v>
          </cell>
          <cell r="AA253" t="str">
            <v>N/A</v>
          </cell>
          <cell r="AB253">
            <v>40543</v>
          </cell>
          <cell r="AC253">
            <v>38717</v>
          </cell>
        </row>
        <row r="254">
          <cell r="O254" t="str">
            <v>1-Year PTP with Secure Cap</v>
          </cell>
          <cell r="P254" t="str">
            <v>1-Year PTP with Secure Cap, JPM Ascend</v>
          </cell>
          <cell r="Q254" t="str">
            <v>JPMAS</v>
          </cell>
          <cell r="R254" t="str">
            <v>1SC</v>
          </cell>
          <cell r="S254" t="str">
            <v>JPMAS1SC</v>
          </cell>
          <cell r="T254" t="str">
            <v>N/A</v>
          </cell>
          <cell r="U254" t="str">
            <v>N/A</v>
          </cell>
          <cell r="V254" t="str">
            <v>N/A</v>
          </cell>
          <cell r="W254" t="str">
            <v>N/A</v>
          </cell>
          <cell r="X254" t="str">
            <v>N/A</v>
          </cell>
          <cell r="Y254" t="str">
            <v>N/A</v>
          </cell>
          <cell r="Z254" t="str">
            <v>N/A</v>
          </cell>
          <cell r="AA254" t="str">
            <v>N/A</v>
          </cell>
          <cell r="AB254">
            <v>40543</v>
          </cell>
          <cell r="AC254">
            <v>38717</v>
          </cell>
        </row>
        <row r="255">
          <cell r="O255" t="str">
            <v>1-Year PTP with ParRate</v>
          </cell>
          <cell r="P255" t="str">
            <v>1-Year PTP with ParRate, JPM Ascend</v>
          </cell>
          <cell r="Q255" t="str">
            <v>JPMAS</v>
          </cell>
          <cell r="R255" t="str">
            <v>1PR</v>
          </cell>
          <cell r="S255" t="str">
            <v>JPMAS1PR</v>
          </cell>
          <cell r="T255" t="str">
            <v>N/A</v>
          </cell>
          <cell r="U255" t="str">
            <v>N/A</v>
          </cell>
          <cell r="V255" t="str">
            <v>N/A</v>
          </cell>
          <cell r="W255" t="str">
            <v>N/A</v>
          </cell>
          <cell r="X255" t="str">
            <v>N/A</v>
          </cell>
          <cell r="Y255" t="str">
            <v>N/A</v>
          </cell>
          <cell r="Z255" t="str">
            <v>N/A</v>
          </cell>
          <cell r="AA255" t="str">
            <v>N/A</v>
          </cell>
          <cell r="AB255">
            <v>40543</v>
          </cell>
          <cell r="AC255">
            <v>38717</v>
          </cell>
        </row>
        <row r="256">
          <cell r="O256" t="str">
            <v>1-Year PTP with Secure ParRate</v>
          </cell>
          <cell r="P256" t="str">
            <v>1-Year PTP with Secure ParRate, JPM Ascend</v>
          </cell>
          <cell r="Q256" t="str">
            <v>JPMAS</v>
          </cell>
          <cell r="R256" t="str">
            <v>1SPR</v>
          </cell>
          <cell r="S256" t="str">
            <v>JPMAS1SPR</v>
          </cell>
          <cell r="T256" t="str">
            <v>N/A</v>
          </cell>
          <cell r="U256" t="str">
            <v>N/A</v>
          </cell>
          <cell r="V256" t="str">
            <v>N/A</v>
          </cell>
          <cell r="W256" t="str">
            <v>N/A</v>
          </cell>
          <cell r="X256" t="str">
            <v>N/A</v>
          </cell>
          <cell r="Y256" t="str">
            <v>N/A</v>
          </cell>
          <cell r="Z256" t="str">
            <v>N/A</v>
          </cell>
          <cell r="AA256" t="str">
            <v>N/A</v>
          </cell>
          <cell r="AB256">
            <v>40543</v>
          </cell>
          <cell r="AC256">
            <v>38717</v>
          </cell>
        </row>
        <row r="257">
          <cell r="O257" t="str">
            <v>1-Year Performance-Triggered Account</v>
          </cell>
          <cell r="P257" t="str">
            <v>1-Year Performance-Triggered Account, JPM Ascend</v>
          </cell>
          <cell r="Q257" t="str">
            <v>JPMAS</v>
          </cell>
          <cell r="R257" t="str">
            <v>1PT</v>
          </cell>
          <cell r="S257" t="str">
            <v>JPMAS1PT</v>
          </cell>
          <cell r="T257" t="str">
            <v>N/A</v>
          </cell>
          <cell r="U257" t="str">
            <v>N/A</v>
          </cell>
          <cell r="V257" t="str">
            <v>N/A</v>
          </cell>
          <cell r="W257" t="str">
            <v>N/A</v>
          </cell>
          <cell r="X257" t="str">
            <v>N/A</v>
          </cell>
          <cell r="Y257" t="str">
            <v>N/A</v>
          </cell>
          <cell r="Z257" t="str">
            <v>N/A</v>
          </cell>
          <cell r="AA257" t="str">
            <v>N/A</v>
          </cell>
          <cell r="AB257">
            <v>40543</v>
          </cell>
          <cell r="AC257">
            <v>38717</v>
          </cell>
        </row>
        <row r="258">
          <cell r="O258" t="str">
            <v>1-Year PTP with Spread</v>
          </cell>
          <cell r="P258" t="str">
            <v>1-Year PTP with Spread, JPM Ascend</v>
          </cell>
          <cell r="Q258" t="str">
            <v>JPMAS</v>
          </cell>
          <cell r="R258" t="str">
            <v>1S</v>
          </cell>
          <cell r="S258" t="str">
            <v>JPMAS1S</v>
          </cell>
          <cell r="T258" t="str">
            <v>N/A</v>
          </cell>
          <cell r="U258" t="str">
            <v>N/A</v>
          </cell>
          <cell r="V258" t="str">
            <v>N/A</v>
          </cell>
          <cell r="W258" t="str">
            <v>N/A</v>
          </cell>
          <cell r="X258" t="str">
            <v>N/A</v>
          </cell>
          <cell r="Y258" t="str">
            <v>N/A</v>
          </cell>
          <cell r="Z258" t="str">
            <v>N/A</v>
          </cell>
          <cell r="AA258" t="str">
            <v>N/A</v>
          </cell>
          <cell r="AB258">
            <v>40543</v>
          </cell>
          <cell r="AC258">
            <v>38717</v>
          </cell>
        </row>
        <row r="259">
          <cell r="O259" t="str">
            <v>1-Year PTP with ParRate &amp; Cap</v>
          </cell>
          <cell r="P259" t="str">
            <v>1-Year PTP with ParRate &amp; Cap, JPM Ascend</v>
          </cell>
          <cell r="Q259" t="str">
            <v>JPMAS</v>
          </cell>
          <cell r="R259" t="str">
            <v>1PRC</v>
          </cell>
          <cell r="S259" t="str">
            <v>JPMAS1PRC</v>
          </cell>
          <cell r="T259" t="str">
            <v>N/A</v>
          </cell>
          <cell r="U259" t="str">
            <v>N/A</v>
          </cell>
          <cell r="V259" t="str">
            <v>N/A</v>
          </cell>
          <cell r="W259" t="str">
            <v>N/A</v>
          </cell>
          <cell r="X259" t="str">
            <v>N/A</v>
          </cell>
          <cell r="Y259" t="str">
            <v>N/A</v>
          </cell>
          <cell r="Z259" t="str">
            <v>N/A</v>
          </cell>
          <cell r="AA259" t="str">
            <v>N/A</v>
          </cell>
          <cell r="AB259">
            <v>40543</v>
          </cell>
          <cell r="AC259">
            <v>38717</v>
          </cell>
        </row>
        <row r="260">
          <cell r="O260" t="str">
            <v>1-Year PTP with ParRate &amp; Spread</v>
          </cell>
          <cell r="P260" t="str">
            <v>1-Year PTP with ParRate &amp; Spread, JPM Ascend</v>
          </cell>
          <cell r="Q260" t="str">
            <v>JPMAS</v>
          </cell>
          <cell r="R260" t="str">
            <v>1PRS</v>
          </cell>
          <cell r="S260" t="str">
            <v>JPMAS1PRS</v>
          </cell>
          <cell r="T260" t="str">
            <v>N/A</v>
          </cell>
          <cell r="U260" t="str">
            <v>N/A</v>
          </cell>
          <cell r="V260" t="str">
            <v>N/A</v>
          </cell>
          <cell r="W260" t="str">
            <v>N/A</v>
          </cell>
          <cell r="X260" t="str">
            <v>N/A</v>
          </cell>
          <cell r="Y260" t="str">
            <v>N/A</v>
          </cell>
          <cell r="Z260" t="str">
            <v>N/A</v>
          </cell>
          <cell r="AA260" t="str">
            <v>N/A</v>
          </cell>
          <cell r="AB260">
            <v>40543</v>
          </cell>
          <cell r="AC260">
            <v>38717</v>
          </cell>
        </row>
        <row r="261">
          <cell r="O261" t="str">
            <v>1-Year PTP with EPRS Tier 1</v>
          </cell>
          <cell r="P261" t="str">
            <v>1-Year PTP with EPRS Tier 1, JPM Ascend</v>
          </cell>
          <cell r="Q261" t="str">
            <v>JPMAS</v>
          </cell>
          <cell r="R261" t="str">
            <v>1EPRST1</v>
          </cell>
          <cell r="S261" t="str">
            <v>JPMAS1EPRST1</v>
          </cell>
          <cell r="T261" t="str">
            <v>N/A</v>
          </cell>
          <cell r="U261" t="str">
            <v>N/A</v>
          </cell>
          <cell r="V261" t="str">
            <v>N/A</v>
          </cell>
          <cell r="W261" t="str">
            <v>N/A</v>
          </cell>
          <cell r="X261" t="str">
            <v>N/A</v>
          </cell>
          <cell r="Y261" t="str">
            <v>N/A</v>
          </cell>
          <cell r="Z261" t="str">
            <v>N/A</v>
          </cell>
          <cell r="AA261" t="str">
            <v>N/A</v>
          </cell>
          <cell r="AB261">
            <v>40543</v>
          </cell>
          <cell r="AC261">
            <v>38717</v>
          </cell>
        </row>
        <row r="262">
          <cell r="O262" t="str">
            <v>1-Year PTP with EPRS Tier 2</v>
          </cell>
          <cell r="P262" t="str">
            <v>1-Year PTP with EPRS Tier 2, JPM Ascend</v>
          </cell>
          <cell r="Q262" t="str">
            <v>JPMAS</v>
          </cell>
          <cell r="R262" t="str">
            <v>1EPRST2</v>
          </cell>
          <cell r="S262" t="str">
            <v>JPMAS1EPRST2</v>
          </cell>
          <cell r="T262" t="str">
            <v>N/A</v>
          </cell>
          <cell r="U262" t="str">
            <v>N/A</v>
          </cell>
          <cell r="V262" t="str">
            <v>N/A</v>
          </cell>
          <cell r="W262" t="str">
            <v>N/A</v>
          </cell>
          <cell r="X262" t="str">
            <v>N/A</v>
          </cell>
          <cell r="Y262" t="str">
            <v>N/A</v>
          </cell>
          <cell r="Z262" t="str">
            <v>N/A</v>
          </cell>
          <cell r="AA262" t="str">
            <v>N/A</v>
          </cell>
          <cell r="AB262">
            <v>40543</v>
          </cell>
          <cell r="AC262">
            <v>38717</v>
          </cell>
        </row>
        <row r="263">
          <cell r="O263" t="str">
            <v>2-Year PTP with Cap</v>
          </cell>
          <cell r="P263" t="str">
            <v>2-Year PTP with Cap, JPM Ascend</v>
          </cell>
          <cell r="Q263" t="str">
            <v>JPMAS</v>
          </cell>
          <cell r="R263" t="str">
            <v>2C</v>
          </cell>
          <cell r="S263" t="str">
            <v>JPMAS2C</v>
          </cell>
          <cell r="T263" t="str">
            <v>N/A</v>
          </cell>
          <cell r="U263" t="str">
            <v>N/A</v>
          </cell>
          <cell r="V263" t="str">
            <v>N/A</v>
          </cell>
          <cell r="W263" t="str">
            <v>N/A</v>
          </cell>
          <cell r="X263" t="str">
            <v>N/A</v>
          </cell>
          <cell r="Y263" t="str">
            <v>N/A</v>
          </cell>
          <cell r="Z263" t="str">
            <v>N/A</v>
          </cell>
          <cell r="AA263" t="str">
            <v>N/A</v>
          </cell>
          <cell r="AB263">
            <v>40543</v>
          </cell>
          <cell r="AC263">
            <v>38717</v>
          </cell>
        </row>
        <row r="264">
          <cell r="O264" t="str">
            <v>2-Year PTP with ParRate</v>
          </cell>
          <cell r="P264" t="str">
            <v>2-Year PTP with ParRate, JPM Ascend</v>
          </cell>
          <cell r="Q264" t="str">
            <v>JPMAS</v>
          </cell>
          <cell r="R264" t="str">
            <v>2PR</v>
          </cell>
          <cell r="S264" t="str">
            <v>JPMAS2PR</v>
          </cell>
          <cell r="T264" t="str">
            <v>N/A</v>
          </cell>
          <cell r="U264" t="str">
            <v>N/A</v>
          </cell>
          <cell r="V264" t="str">
            <v>N/A</v>
          </cell>
          <cell r="W264" t="str">
            <v>N/A</v>
          </cell>
          <cell r="X264" t="str">
            <v>N/A</v>
          </cell>
          <cell r="Y264" t="str">
            <v>N/A</v>
          </cell>
          <cell r="Z264" t="str">
            <v>N/A</v>
          </cell>
          <cell r="AA264" t="str">
            <v>N/A</v>
          </cell>
          <cell r="AB264">
            <v>40543</v>
          </cell>
          <cell r="AC264">
            <v>38717</v>
          </cell>
        </row>
        <row r="265">
          <cell r="O265" t="str">
            <v>2-Year PTP with Spread</v>
          </cell>
          <cell r="P265" t="str">
            <v>2-Year PTP with Spread, JPM Ascend</v>
          </cell>
          <cell r="Q265" t="str">
            <v>JPMAS</v>
          </cell>
          <cell r="R265" t="str">
            <v>2S</v>
          </cell>
          <cell r="S265" t="str">
            <v>JPMAS2S</v>
          </cell>
          <cell r="T265" t="str">
            <v>N/A</v>
          </cell>
          <cell r="U265" t="str">
            <v>N/A</v>
          </cell>
          <cell r="V265" t="str">
            <v>N/A</v>
          </cell>
          <cell r="W265" t="str">
            <v>N/A</v>
          </cell>
          <cell r="X265" t="str">
            <v>N/A</v>
          </cell>
          <cell r="Y265" t="str">
            <v>N/A</v>
          </cell>
          <cell r="Z265" t="str">
            <v>N/A</v>
          </cell>
          <cell r="AA265" t="str">
            <v>N/A</v>
          </cell>
          <cell r="AB265">
            <v>40543</v>
          </cell>
          <cell r="AC265">
            <v>38717</v>
          </cell>
        </row>
        <row r="266">
          <cell r="O266" t="str">
            <v>2-Year PTP with ParRate &amp; Spread</v>
          </cell>
          <cell r="P266" t="str">
            <v>2-Year PTP with ParRate &amp; Spread, JPM Ascend</v>
          </cell>
          <cell r="Q266" t="str">
            <v>JPMAS</v>
          </cell>
          <cell r="R266" t="str">
            <v>2PRS</v>
          </cell>
          <cell r="S266" t="str">
            <v>JPMAS2PRS</v>
          </cell>
          <cell r="T266" t="str">
            <v>N/A</v>
          </cell>
          <cell r="U266" t="str">
            <v>N/A</v>
          </cell>
          <cell r="V266" t="str">
            <v>N/A</v>
          </cell>
          <cell r="W266" t="str">
            <v>N/A</v>
          </cell>
          <cell r="X266" t="str">
            <v>N/A</v>
          </cell>
          <cell r="Y266" t="str">
            <v>N/A</v>
          </cell>
          <cell r="Z266" t="str">
            <v>N/A</v>
          </cell>
          <cell r="AA266" t="str">
            <v>N/A</v>
          </cell>
          <cell r="AB266">
            <v>40543</v>
          </cell>
          <cell r="AC266">
            <v>38717</v>
          </cell>
        </row>
        <row r="267">
          <cell r="O267" t="str">
            <v>2-Year PTP with EPRS Tier 1</v>
          </cell>
          <cell r="P267" t="str">
            <v>2-Year PTP with EPRS Tier 1, JPM Ascend</v>
          </cell>
          <cell r="Q267" t="str">
            <v>JPMAS</v>
          </cell>
          <cell r="R267" t="str">
            <v>2EPRST1</v>
          </cell>
          <cell r="S267" t="str">
            <v>JPMAS2EPRST1</v>
          </cell>
          <cell r="T267" t="str">
            <v>N/A</v>
          </cell>
          <cell r="U267" t="str">
            <v>N/A</v>
          </cell>
          <cell r="V267" t="str">
            <v>N/A</v>
          </cell>
          <cell r="W267" t="str">
            <v>N/A</v>
          </cell>
          <cell r="X267" t="str">
            <v>N/A</v>
          </cell>
          <cell r="Y267" t="str">
            <v>N/A</v>
          </cell>
          <cell r="Z267" t="str">
            <v>N/A</v>
          </cell>
          <cell r="AA267" t="str">
            <v>N/A</v>
          </cell>
          <cell r="AB267">
            <v>40543</v>
          </cell>
          <cell r="AC267">
            <v>38717</v>
          </cell>
        </row>
        <row r="268">
          <cell r="O268" t="str">
            <v>2-Year PTP with EPRS Tier 2</v>
          </cell>
          <cell r="P268" t="str">
            <v>2-Year PTP with EPRS Tier 2, JPM Ascend</v>
          </cell>
          <cell r="Q268" t="str">
            <v>JPMAS</v>
          </cell>
          <cell r="R268" t="str">
            <v>2EPRST2</v>
          </cell>
          <cell r="S268" t="str">
            <v>JPMAS2EPRST2</v>
          </cell>
          <cell r="T268" t="str">
            <v>N/A</v>
          </cell>
          <cell r="U268" t="str">
            <v>N/A</v>
          </cell>
          <cell r="V268" t="str">
            <v>N/A</v>
          </cell>
          <cell r="W268" t="str">
            <v>N/A</v>
          </cell>
          <cell r="X268" t="str">
            <v>N/A</v>
          </cell>
          <cell r="Y268" t="str">
            <v>N/A</v>
          </cell>
          <cell r="Z268" t="str">
            <v>N/A</v>
          </cell>
          <cell r="AA268" t="str">
            <v>N/A</v>
          </cell>
          <cell r="AB268">
            <v>40543</v>
          </cell>
          <cell r="AC268">
            <v>38717</v>
          </cell>
        </row>
        <row r="269">
          <cell r="O269" t="str">
            <v>5-Year PTP with Cap</v>
          </cell>
          <cell r="P269" t="str">
            <v>5-Year PTP with Cap, JPM Ascend</v>
          </cell>
          <cell r="Q269" t="str">
            <v>JPMAS</v>
          </cell>
          <cell r="R269" t="str">
            <v>5C</v>
          </cell>
          <cell r="S269" t="str">
            <v>JPMAS5C</v>
          </cell>
          <cell r="T269" t="str">
            <v>N/A</v>
          </cell>
          <cell r="U269" t="str">
            <v>N/A</v>
          </cell>
          <cell r="V269" t="str">
            <v>N/A</v>
          </cell>
          <cell r="W269" t="str">
            <v>N/A</v>
          </cell>
          <cell r="X269" t="str">
            <v>N/A</v>
          </cell>
          <cell r="Y269" t="str">
            <v>N/A</v>
          </cell>
          <cell r="Z269" t="str">
            <v>N/A</v>
          </cell>
          <cell r="AA269" t="str">
            <v>N/A</v>
          </cell>
          <cell r="AB269">
            <v>40543</v>
          </cell>
          <cell r="AC269">
            <v>38717</v>
          </cell>
        </row>
        <row r="270">
          <cell r="N270" t="str">
            <v>JPM Adaptive Quality</v>
          </cell>
          <cell r="O270" t="str">
            <v>1-Year PTP with Cap</v>
          </cell>
          <cell r="P270" t="str">
            <v>1-Year PTP with Cap, JPM Adaptive Quality</v>
          </cell>
          <cell r="Q270" t="str">
            <v>JPMAQ</v>
          </cell>
          <cell r="R270" t="str">
            <v>1C</v>
          </cell>
          <cell r="S270" t="str">
            <v>JPMAQ1C</v>
          </cell>
          <cell r="T270" t="str">
            <v>N/A</v>
          </cell>
          <cell r="U270" t="str">
            <v>N/A</v>
          </cell>
          <cell r="V270" t="str">
            <v>N/A</v>
          </cell>
          <cell r="W270" t="str">
            <v>N/A</v>
          </cell>
          <cell r="X270" t="str">
            <v>N/A</v>
          </cell>
          <cell r="Y270" t="str">
            <v>N/A</v>
          </cell>
          <cell r="Z270" t="str">
            <v>N/A</v>
          </cell>
          <cell r="AA270" t="str">
            <v>N/A</v>
          </cell>
          <cell r="AB270">
            <v>39813</v>
          </cell>
          <cell r="AC270">
            <v>39082</v>
          </cell>
        </row>
        <row r="271">
          <cell r="O271" t="str">
            <v>1-Year PTP with Secure Cap</v>
          </cell>
          <cell r="P271" t="str">
            <v>1-Year PTP with Secure Cap, JPM Adaptive Quality</v>
          </cell>
          <cell r="Q271" t="str">
            <v>JPMAQ</v>
          </cell>
          <cell r="R271" t="str">
            <v>1SC</v>
          </cell>
          <cell r="S271" t="str">
            <v>JPMAQ1SC</v>
          </cell>
          <cell r="T271" t="str">
            <v>N/A</v>
          </cell>
          <cell r="U271" t="str">
            <v>N/A</v>
          </cell>
          <cell r="V271" t="str">
            <v>N/A</v>
          </cell>
          <cell r="W271" t="str">
            <v>N/A</v>
          </cell>
          <cell r="X271" t="str">
            <v>N/A</v>
          </cell>
          <cell r="Y271" t="str">
            <v>N/A</v>
          </cell>
          <cell r="Z271" t="str">
            <v>N/A</v>
          </cell>
          <cell r="AA271" t="str">
            <v>N/A</v>
          </cell>
          <cell r="AB271">
            <v>39813</v>
          </cell>
          <cell r="AC271">
            <v>39082</v>
          </cell>
        </row>
        <row r="272">
          <cell r="O272" t="str">
            <v>1-Year PTP with ParRate</v>
          </cell>
          <cell r="P272" t="str">
            <v>1-Year PTP with ParRate, JPM Adaptive Quality</v>
          </cell>
          <cell r="Q272" t="str">
            <v>JPMAQ</v>
          </cell>
          <cell r="R272" t="str">
            <v>1PR</v>
          </cell>
          <cell r="S272" t="str">
            <v>JPMAQ1PR</v>
          </cell>
          <cell r="T272" t="str">
            <v>N/A</v>
          </cell>
          <cell r="U272" t="str">
            <v>N/A</v>
          </cell>
          <cell r="V272" t="str">
            <v>N/A</v>
          </cell>
          <cell r="W272" t="str">
            <v>N/A</v>
          </cell>
          <cell r="X272" t="str">
            <v>N/A</v>
          </cell>
          <cell r="Y272" t="str">
            <v>N/A</v>
          </cell>
          <cell r="Z272" t="str">
            <v>N/A</v>
          </cell>
          <cell r="AA272" t="str">
            <v>N/A</v>
          </cell>
          <cell r="AB272">
            <v>39813</v>
          </cell>
          <cell r="AC272">
            <v>39082</v>
          </cell>
        </row>
        <row r="273">
          <cell r="O273" t="str">
            <v>1-Year PTP with Secure ParRate</v>
          </cell>
          <cell r="P273" t="str">
            <v>1-Year PTP with Secure ParRate, JPM Adaptive Quality</v>
          </cell>
          <cell r="Q273" t="str">
            <v>JPMAQ</v>
          </cell>
          <cell r="R273" t="str">
            <v>1SPR</v>
          </cell>
          <cell r="S273" t="str">
            <v>JPMAQ1SPR</v>
          </cell>
          <cell r="T273" t="str">
            <v>N/A</v>
          </cell>
          <cell r="U273" t="str">
            <v>N/A</v>
          </cell>
          <cell r="V273" t="str">
            <v>N/A</v>
          </cell>
          <cell r="W273" t="str">
            <v>N/A</v>
          </cell>
          <cell r="X273" t="str">
            <v>N/A</v>
          </cell>
          <cell r="Y273" t="str">
            <v>N/A</v>
          </cell>
          <cell r="Z273" t="str">
            <v>N/A</v>
          </cell>
          <cell r="AA273" t="str">
            <v>N/A</v>
          </cell>
          <cell r="AB273">
            <v>39813</v>
          </cell>
          <cell r="AC273">
            <v>39082</v>
          </cell>
        </row>
        <row r="274">
          <cell r="O274" t="str">
            <v>1-Year Performance-Triggered Account</v>
          </cell>
          <cell r="P274" t="str">
            <v>1-Year Performance-Triggered Account, JPM Adaptive Quality</v>
          </cell>
          <cell r="Q274" t="str">
            <v>JPMAQ</v>
          </cell>
          <cell r="R274" t="str">
            <v>1PT</v>
          </cell>
          <cell r="S274" t="str">
            <v>JPMAQ1PT</v>
          </cell>
          <cell r="T274" t="str">
            <v>N/A</v>
          </cell>
          <cell r="U274" t="str">
            <v>N/A</v>
          </cell>
          <cell r="V274" t="str">
            <v>N/A</v>
          </cell>
          <cell r="W274" t="str">
            <v>N/A</v>
          </cell>
          <cell r="X274" t="str">
            <v>N/A</v>
          </cell>
          <cell r="Y274" t="str">
            <v>N/A</v>
          </cell>
          <cell r="Z274" t="str">
            <v>N/A</v>
          </cell>
          <cell r="AA274" t="str">
            <v>N/A</v>
          </cell>
          <cell r="AB274">
            <v>39813</v>
          </cell>
          <cell r="AC274">
            <v>39082</v>
          </cell>
        </row>
        <row r="275">
          <cell r="O275" t="str">
            <v>1-Year PTP with Spread</v>
          </cell>
          <cell r="P275" t="str">
            <v>1-Year PTP with Spread, JPM Adaptive Quality</v>
          </cell>
          <cell r="Q275" t="str">
            <v>JPMAQ</v>
          </cell>
          <cell r="R275" t="str">
            <v>1S</v>
          </cell>
          <cell r="S275" t="str">
            <v>JPMAQ1S</v>
          </cell>
          <cell r="T275" t="str">
            <v>N/A</v>
          </cell>
          <cell r="U275" t="str">
            <v>N/A</v>
          </cell>
          <cell r="V275" t="str">
            <v>N/A</v>
          </cell>
          <cell r="W275" t="str">
            <v>N/A</v>
          </cell>
          <cell r="X275" t="str">
            <v>N/A</v>
          </cell>
          <cell r="Y275" t="str">
            <v>N/A</v>
          </cell>
          <cell r="Z275" t="str">
            <v>N/A</v>
          </cell>
          <cell r="AA275" t="str">
            <v>N/A</v>
          </cell>
          <cell r="AB275">
            <v>39813</v>
          </cell>
          <cell r="AC275">
            <v>39082</v>
          </cell>
        </row>
        <row r="276">
          <cell r="O276" t="str">
            <v>1-Year PTP with ParRate &amp; Cap</v>
          </cell>
          <cell r="P276" t="str">
            <v>1-Year PTP with ParRate &amp; Cap, JPM Adaptive Quality</v>
          </cell>
          <cell r="Q276" t="str">
            <v>JPMAQ</v>
          </cell>
          <cell r="R276" t="str">
            <v>1PRC</v>
          </cell>
          <cell r="S276" t="str">
            <v>JPMAQ1PRC</v>
          </cell>
          <cell r="T276" t="str">
            <v>N/A</v>
          </cell>
          <cell r="U276" t="str">
            <v>N/A</v>
          </cell>
          <cell r="V276" t="str">
            <v>N/A</v>
          </cell>
          <cell r="W276" t="str">
            <v>N/A</v>
          </cell>
          <cell r="X276" t="str">
            <v>N/A</v>
          </cell>
          <cell r="Y276" t="str">
            <v>N/A</v>
          </cell>
          <cell r="Z276" t="str">
            <v>N/A</v>
          </cell>
          <cell r="AA276" t="str">
            <v>N/A</v>
          </cell>
          <cell r="AB276">
            <v>39813</v>
          </cell>
          <cell r="AC276">
            <v>39082</v>
          </cell>
        </row>
        <row r="277">
          <cell r="O277" t="str">
            <v>1-Year PTP with ParRate &amp; Spread</v>
          </cell>
          <cell r="P277" t="str">
            <v>1-Year PTP with ParRate &amp; Spread, JPM Adaptive Quality</v>
          </cell>
          <cell r="Q277" t="str">
            <v>JPMAQ</v>
          </cell>
          <cell r="R277" t="str">
            <v>1PRS</v>
          </cell>
          <cell r="S277" t="str">
            <v>JPMAQ1PRS</v>
          </cell>
          <cell r="T277" t="str">
            <v>N/A</v>
          </cell>
          <cell r="U277" t="str">
            <v>N/A</v>
          </cell>
          <cell r="V277" t="str">
            <v>N/A</v>
          </cell>
          <cell r="W277" t="str">
            <v>N/A</v>
          </cell>
          <cell r="X277" t="str">
            <v>N/A</v>
          </cell>
          <cell r="Y277" t="str">
            <v>N/A</v>
          </cell>
          <cell r="Z277" t="str">
            <v>N/A</v>
          </cell>
          <cell r="AA277" t="str">
            <v>N/A</v>
          </cell>
          <cell r="AB277">
            <v>39813</v>
          </cell>
          <cell r="AC277">
            <v>39082</v>
          </cell>
        </row>
        <row r="278">
          <cell r="O278" t="str">
            <v>1-Year PTP with EPRS Tier 1</v>
          </cell>
          <cell r="P278" t="str">
            <v>1-Year PTP with EPRS Tier 1, JPM Adaptive Quality</v>
          </cell>
          <cell r="Q278" t="str">
            <v>JPMAQ</v>
          </cell>
          <cell r="R278" t="str">
            <v>1EPRST1</v>
          </cell>
          <cell r="S278" t="str">
            <v>JPMAQ1EPRST1</v>
          </cell>
          <cell r="T278" t="str">
            <v>N/A</v>
          </cell>
          <cell r="U278" t="str">
            <v>N/A</v>
          </cell>
          <cell r="V278" t="str">
            <v>N/A</v>
          </cell>
          <cell r="W278" t="str">
            <v>N/A</v>
          </cell>
          <cell r="X278" t="str">
            <v>N/A</v>
          </cell>
          <cell r="Y278" t="str">
            <v>N/A</v>
          </cell>
          <cell r="Z278" t="str">
            <v>N/A</v>
          </cell>
          <cell r="AA278" t="str">
            <v>N/A</v>
          </cell>
          <cell r="AB278">
            <v>39813</v>
          </cell>
          <cell r="AC278">
            <v>39082</v>
          </cell>
        </row>
        <row r="279">
          <cell r="O279" t="str">
            <v>1-Year PTP with EPRS Tier 2</v>
          </cell>
          <cell r="P279" t="str">
            <v>1-Year PTP with EPRS Tier 2, JPM Adaptive Quality</v>
          </cell>
          <cell r="Q279" t="str">
            <v>JPMAQ</v>
          </cell>
          <cell r="R279" t="str">
            <v>1EPRST2</v>
          </cell>
          <cell r="S279" t="str">
            <v>JPMAQ1EPRST2</v>
          </cell>
          <cell r="T279" t="str">
            <v>N/A</v>
          </cell>
          <cell r="U279" t="str">
            <v>N/A</v>
          </cell>
          <cell r="V279" t="str">
            <v>N/A</v>
          </cell>
          <cell r="W279" t="str">
            <v>N/A</v>
          </cell>
          <cell r="X279" t="str">
            <v>N/A</v>
          </cell>
          <cell r="Y279" t="str">
            <v>N/A</v>
          </cell>
          <cell r="Z279" t="str">
            <v>N/A</v>
          </cell>
          <cell r="AA279" t="str">
            <v>N/A</v>
          </cell>
          <cell r="AB279">
            <v>39813</v>
          </cell>
          <cell r="AC279">
            <v>39082</v>
          </cell>
        </row>
        <row r="280">
          <cell r="O280" t="str">
            <v>2-Year PTP with Cap</v>
          </cell>
          <cell r="P280" t="str">
            <v>2-Year PTP with Cap, JPM Adaptive Quality</v>
          </cell>
          <cell r="Q280" t="str">
            <v>JPMAQ</v>
          </cell>
          <cell r="R280" t="str">
            <v>2C</v>
          </cell>
          <cell r="S280" t="str">
            <v>JPMAQ2C</v>
          </cell>
          <cell r="T280" t="str">
            <v>N/A</v>
          </cell>
          <cell r="U280" t="str">
            <v>N/A</v>
          </cell>
          <cell r="V280" t="str">
            <v>N/A</v>
          </cell>
          <cell r="W280" t="str">
            <v>N/A</v>
          </cell>
          <cell r="X280" t="str">
            <v>N/A</v>
          </cell>
          <cell r="Y280" t="str">
            <v>N/A</v>
          </cell>
          <cell r="Z280" t="str">
            <v>N/A</v>
          </cell>
          <cell r="AA280" t="str">
            <v>N/A</v>
          </cell>
          <cell r="AB280">
            <v>39813</v>
          </cell>
          <cell r="AC280">
            <v>39082</v>
          </cell>
        </row>
        <row r="281">
          <cell r="O281" t="str">
            <v>2-Year PTP with ParRate</v>
          </cell>
          <cell r="P281" t="str">
            <v>2-Year PTP with ParRate, JPM Adaptive Quality</v>
          </cell>
          <cell r="Q281" t="str">
            <v>JPMAQ</v>
          </cell>
          <cell r="R281" t="str">
            <v>2PR</v>
          </cell>
          <cell r="S281" t="str">
            <v>JPMAQ2PR</v>
          </cell>
          <cell r="T281" t="str">
            <v>N/A</v>
          </cell>
          <cell r="U281" t="str">
            <v>N/A</v>
          </cell>
          <cell r="V281" t="str">
            <v>N/A</v>
          </cell>
          <cell r="W281" t="str">
            <v>N/A</v>
          </cell>
          <cell r="X281" t="str">
            <v>N/A</v>
          </cell>
          <cell r="Y281" t="str">
            <v>N/A</v>
          </cell>
          <cell r="Z281" t="str">
            <v>N/A</v>
          </cell>
          <cell r="AA281" t="str">
            <v>N/A</v>
          </cell>
          <cell r="AB281">
            <v>39813</v>
          </cell>
          <cell r="AC281">
            <v>39082</v>
          </cell>
        </row>
        <row r="282">
          <cell r="O282" t="str">
            <v>2-Year PTP with Spread</v>
          </cell>
          <cell r="P282" t="str">
            <v>2-Year PTP with Spread, JPM Adaptive Quality</v>
          </cell>
          <cell r="Q282" t="str">
            <v>JPMAQ</v>
          </cell>
          <cell r="R282" t="str">
            <v>2S</v>
          </cell>
          <cell r="S282" t="str">
            <v>JPMAQ2S</v>
          </cell>
          <cell r="T282" t="str">
            <v>N/A</v>
          </cell>
          <cell r="U282" t="str">
            <v>N/A</v>
          </cell>
          <cell r="V282" t="str">
            <v>N/A</v>
          </cell>
          <cell r="W282" t="str">
            <v>N/A</v>
          </cell>
          <cell r="X282" t="str">
            <v>N/A</v>
          </cell>
          <cell r="Y282" t="str">
            <v>N/A</v>
          </cell>
          <cell r="Z282" t="str">
            <v>N/A</v>
          </cell>
          <cell r="AA282" t="str">
            <v>N/A</v>
          </cell>
          <cell r="AB282">
            <v>39813</v>
          </cell>
          <cell r="AC282">
            <v>39082</v>
          </cell>
        </row>
        <row r="283">
          <cell r="O283" t="str">
            <v>2-Year PTP with ParRate &amp; Spread</v>
          </cell>
          <cell r="P283" t="str">
            <v>2-Year PTP with ParRate &amp; Spread, JPM Adaptive Quality</v>
          </cell>
          <cell r="Q283" t="str">
            <v>JPMAQ</v>
          </cell>
          <cell r="R283" t="str">
            <v>2PRS</v>
          </cell>
          <cell r="S283" t="str">
            <v>JPMAQ2PRS</v>
          </cell>
          <cell r="T283" t="str">
            <v>N/A</v>
          </cell>
          <cell r="U283" t="str">
            <v>N/A</v>
          </cell>
          <cell r="V283" t="str">
            <v>N/A</v>
          </cell>
          <cell r="W283" t="str">
            <v>N/A</v>
          </cell>
          <cell r="X283" t="str">
            <v>N/A</v>
          </cell>
          <cell r="Y283" t="str">
            <v>N/A</v>
          </cell>
          <cell r="Z283" t="str">
            <v>N/A</v>
          </cell>
          <cell r="AA283" t="str">
            <v>N/A</v>
          </cell>
          <cell r="AB283">
            <v>39813</v>
          </cell>
          <cell r="AC283">
            <v>39082</v>
          </cell>
        </row>
        <row r="284">
          <cell r="O284" t="str">
            <v>2-Year PTP with EPRS Tier 1</v>
          </cell>
          <cell r="P284" t="str">
            <v>2-Year PTP with EPRS Tier 1, JPM Adaptive Quality</v>
          </cell>
          <cell r="Q284" t="str">
            <v>JPMAQ</v>
          </cell>
          <cell r="R284" t="str">
            <v>2EPRST1</v>
          </cell>
          <cell r="S284" t="str">
            <v>JPMAQ2EPRST1</v>
          </cell>
          <cell r="T284" t="str">
            <v>N/A</v>
          </cell>
          <cell r="U284" t="str">
            <v>N/A</v>
          </cell>
          <cell r="V284" t="str">
            <v>N/A</v>
          </cell>
          <cell r="W284" t="str">
            <v>N/A</v>
          </cell>
          <cell r="X284" t="str">
            <v>N/A</v>
          </cell>
          <cell r="Y284" t="str">
            <v>N/A</v>
          </cell>
          <cell r="Z284" t="str">
            <v>N/A</v>
          </cell>
          <cell r="AA284" t="str">
            <v>N/A</v>
          </cell>
          <cell r="AB284">
            <v>39813</v>
          </cell>
          <cell r="AC284">
            <v>39082</v>
          </cell>
        </row>
        <row r="285">
          <cell r="O285" t="str">
            <v>2-Year PTP with EPRS Tier 2</v>
          </cell>
          <cell r="P285" t="str">
            <v>2-Year PTP with EPRS Tier 2, JPM Adaptive Quality</v>
          </cell>
          <cell r="Q285" t="str">
            <v>JPMAQ</v>
          </cell>
          <cell r="R285" t="str">
            <v>2EPRST2</v>
          </cell>
          <cell r="S285" t="str">
            <v>JPMAQ2EPRST2</v>
          </cell>
          <cell r="T285" t="str">
            <v>N/A</v>
          </cell>
          <cell r="U285" t="str">
            <v>N/A</v>
          </cell>
          <cell r="V285" t="str">
            <v>N/A</v>
          </cell>
          <cell r="W285" t="str">
            <v>N/A</v>
          </cell>
          <cell r="X285" t="str">
            <v>N/A</v>
          </cell>
          <cell r="Y285" t="str">
            <v>N/A</v>
          </cell>
          <cell r="Z285" t="str">
            <v>N/A</v>
          </cell>
          <cell r="AA285" t="str">
            <v>N/A</v>
          </cell>
          <cell r="AB285">
            <v>39813</v>
          </cell>
          <cell r="AC285">
            <v>39082</v>
          </cell>
        </row>
        <row r="286">
          <cell r="O286" t="str">
            <v>5-Year PTP with Cap</v>
          </cell>
          <cell r="P286" t="str">
            <v>5-Year PTP with Cap, JPM Adaptive Quality</v>
          </cell>
          <cell r="Q286" t="str">
            <v>JPMAQ</v>
          </cell>
          <cell r="R286" t="str">
            <v>5C</v>
          </cell>
          <cell r="S286" t="str">
            <v>JPMAQ5C</v>
          </cell>
          <cell r="T286" t="str">
            <v>N/A</v>
          </cell>
          <cell r="U286" t="str">
            <v>N/A</v>
          </cell>
          <cell r="V286" t="str">
            <v>N/A</v>
          </cell>
          <cell r="W286" t="str">
            <v>N/A</v>
          </cell>
          <cell r="X286" t="str">
            <v>N/A</v>
          </cell>
          <cell r="Y286" t="str">
            <v>N/A</v>
          </cell>
          <cell r="Z286" t="str">
            <v>N/A</v>
          </cell>
          <cell r="AA286" t="str">
            <v>N/A</v>
          </cell>
          <cell r="AB286">
            <v>39813</v>
          </cell>
          <cell r="AC286">
            <v>39082</v>
          </cell>
        </row>
        <row r="287">
          <cell r="N287" t="str">
            <v>JPM Adaptive Momentum</v>
          </cell>
          <cell r="O287" t="str">
            <v>1-Year PTP with Cap</v>
          </cell>
          <cell r="P287" t="str">
            <v>1-Year PTP with Cap, JPM Adaptive Momentum</v>
          </cell>
          <cell r="Q287" t="str">
            <v>JPMAM</v>
          </cell>
          <cell r="R287" t="str">
            <v>1C</v>
          </cell>
          <cell r="S287" t="str">
            <v>JPMAM1C</v>
          </cell>
          <cell r="T287" t="str">
            <v>N/A</v>
          </cell>
          <cell r="U287" t="str">
            <v>N/A</v>
          </cell>
          <cell r="V287" t="str">
            <v>N/A</v>
          </cell>
          <cell r="W287" t="str">
            <v>N/A</v>
          </cell>
          <cell r="X287" t="str">
            <v>N/A</v>
          </cell>
          <cell r="Y287" t="str">
            <v>N/A</v>
          </cell>
          <cell r="Z287" t="str">
            <v>N/A</v>
          </cell>
          <cell r="AA287" t="str">
            <v>N/A</v>
          </cell>
          <cell r="AB287">
            <v>39813</v>
          </cell>
          <cell r="AC287">
            <v>41639</v>
          </cell>
        </row>
        <row r="288">
          <cell r="O288" t="str">
            <v>1-Year PTP with Secure Cap</v>
          </cell>
          <cell r="P288" t="str">
            <v>1-Year PTP with Secure Cap, JPM Adaptive Momentum</v>
          </cell>
          <cell r="Q288" t="str">
            <v>JPMAM</v>
          </cell>
          <cell r="R288" t="str">
            <v>1SC</v>
          </cell>
          <cell r="S288" t="str">
            <v>JPMAM1SC</v>
          </cell>
          <cell r="T288" t="str">
            <v>N/A</v>
          </cell>
          <cell r="U288" t="str">
            <v>N/A</v>
          </cell>
          <cell r="V288" t="str">
            <v>N/A</v>
          </cell>
          <cell r="W288" t="str">
            <v>N/A</v>
          </cell>
          <cell r="X288" t="str">
            <v>N/A</v>
          </cell>
          <cell r="Y288" t="str">
            <v>N/A</v>
          </cell>
          <cell r="Z288" t="str">
            <v>N/A</v>
          </cell>
          <cell r="AA288" t="str">
            <v>N/A</v>
          </cell>
          <cell r="AB288">
            <v>39813</v>
          </cell>
          <cell r="AC288">
            <v>41639</v>
          </cell>
        </row>
        <row r="289">
          <cell r="O289" t="str">
            <v>1-Year PTP with ParRate</v>
          </cell>
          <cell r="P289" t="str">
            <v>1-Year PTP with ParRate, JPM Adaptive Momentum</v>
          </cell>
          <cell r="Q289" t="str">
            <v>JPMAM</v>
          </cell>
          <cell r="R289" t="str">
            <v>1PR</v>
          </cell>
          <cell r="S289" t="str">
            <v>JPMAM1PR</v>
          </cell>
          <cell r="T289" t="str">
            <v>N/A</v>
          </cell>
          <cell r="U289" t="str">
            <v>N/A</v>
          </cell>
          <cell r="V289" t="str">
            <v>N/A</v>
          </cell>
          <cell r="W289" t="str">
            <v>N/A</v>
          </cell>
          <cell r="X289" t="str">
            <v>N/A</v>
          </cell>
          <cell r="Y289" t="str">
            <v>N/A</v>
          </cell>
          <cell r="Z289" t="str">
            <v>N/A</v>
          </cell>
          <cell r="AA289" t="str">
            <v>N/A</v>
          </cell>
          <cell r="AB289">
            <v>39813</v>
          </cell>
          <cell r="AC289">
            <v>41639</v>
          </cell>
        </row>
        <row r="290">
          <cell r="O290" t="str">
            <v>1-Year PTP with Secure ParRate</v>
          </cell>
          <cell r="P290" t="str">
            <v>1-Year PTP with Secure ParRate, JPM Adaptive Momentum</v>
          </cell>
          <cell r="Q290" t="str">
            <v>JPMAM</v>
          </cell>
          <cell r="R290" t="str">
            <v>1SPR</v>
          </cell>
          <cell r="S290" t="str">
            <v>JPMAM1SPR</v>
          </cell>
          <cell r="T290" t="str">
            <v>N/A</v>
          </cell>
          <cell r="U290" t="str">
            <v>N/A</v>
          </cell>
          <cell r="V290" t="str">
            <v>N/A</v>
          </cell>
          <cell r="W290" t="str">
            <v>N/A</v>
          </cell>
          <cell r="X290" t="str">
            <v>N/A</v>
          </cell>
          <cell r="Y290" t="str">
            <v>N/A</v>
          </cell>
          <cell r="Z290" t="str">
            <v>N/A</v>
          </cell>
          <cell r="AA290" t="str">
            <v>N/A</v>
          </cell>
          <cell r="AB290">
            <v>39813</v>
          </cell>
          <cell r="AC290">
            <v>41639</v>
          </cell>
        </row>
        <row r="291">
          <cell r="O291" t="str">
            <v>1-Year Performance-Triggered Account</v>
          </cell>
          <cell r="P291" t="str">
            <v>1-Year Performance-Triggered Account, JPM Adaptive Momentum</v>
          </cell>
          <cell r="Q291" t="str">
            <v>JPMAM</v>
          </cell>
          <cell r="R291" t="str">
            <v>1PT</v>
          </cell>
          <cell r="S291" t="str">
            <v>JPMAM1PT</v>
          </cell>
          <cell r="T291" t="str">
            <v>N/A</v>
          </cell>
          <cell r="U291" t="str">
            <v>N/A</v>
          </cell>
          <cell r="V291" t="str">
            <v>N/A</v>
          </cell>
          <cell r="W291" t="str">
            <v>N/A</v>
          </cell>
          <cell r="X291" t="str">
            <v>N/A</v>
          </cell>
          <cell r="Y291" t="str">
            <v>N/A</v>
          </cell>
          <cell r="Z291" t="str">
            <v>N/A</v>
          </cell>
          <cell r="AA291" t="str">
            <v>N/A</v>
          </cell>
          <cell r="AB291">
            <v>39813</v>
          </cell>
          <cell r="AC291">
            <v>41639</v>
          </cell>
        </row>
        <row r="292">
          <cell r="O292" t="str">
            <v>1-Year PTP with Spread</v>
          </cell>
          <cell r="P292" t="str">
            <v>1-Year PTP with Spread, JPM Adaptive Momentum</v>
          </cell>
          <cell r="Q292" t="str">
            <v>JPMAM</v>
          </cell>
          <cell r="R292" t="str">
            <v>1S</v>
          </cell>
          <cell r="S292" t="str">
            <v>JPMAM1S</v>
          </cell>
          <cell r="T292" t="str">
            <v>N/A</v>
          </cell>
          <cell r="U292" t="str">
            <v>N/A</v>
          </cell>
          <cell r="V292" t="str">
            <v>N/A</v>
          </cell>
          <cell r="W292" t="str">
            <v>N/A</v>
          </cell>
          <cell r="X292" t="str">
            <v>N/A</v>
          </cell>
          <cell r="Y292" t="str">
            <v>N/A</v>
          </cell>
          <cell r="Z292" t="str">
            <v>N/A</v>
          </cell>
          <cell r="AA292" t="str">
            <v>N/A</v>
          </cell>
          <cell r="AB292">
            <v>39813</v>
          </cell>
          <cell r="AC292">
            <v>41639</v>
          </cell>
        </row>
        <row r="293">
          <cell r="O293" t="str">
            <v>1-Year PTP with ParRate &amp; Cap</v>
          </cell>
          <cell r="P293" t="str">
            <v>1-Year PTP with ParRate &amp; Cap, JPM Adaptive Momentum</v>
          </cell>
          <cell r="Q293" t="str">
            <v>JPMAM</v>
          </cell>
          <cell r="R293" t="str">
            <v>1PRC</v>
          </cell>
          <cell r="S293" t="str">
            <v>JPMAM1PRC</v>
          </cell>
          <cell r="T293" t="str">
            <v>N/A</v>
          </cell>
          <cell r="U293" t="str">
            <v>N/A</v>
          </cell>
          <cell r="V293" t="str">
            <v>N/A</v>
          </cell>
          <cell r="W293" t="str">
            <v>N/A</v>
          </cell>
          <cell r="X293" t="str">
            <v>N/A</v>
          </cell>
          <cell r="Y293" t="str">
            <v>N/A</v>
          </cell>
          <cell r="Z293" t="str">
            <v>N/A</v>
          </cell>
          <cell r="AA293" t="str">
            <v>N/A</v>
          </cell>
          <cell r="AB293">
            <v>39813</v>
          </cell>
          <cell r="AC293">
            <v>41639</v>
          </cell>
        </row>
        <row r="294">
          <cell r="O294" t="str">
            <v>1-Year PTP with ParRate &amp; Spread</v>
          </cell>
          <cell r="P294" t="str">
            <v>1-Year PTP with ParRate &amp; Spread, JPM Adaptive Momentum</v>
          </cell>
          <cell r="Q294" t="str">
            <v>JPMAM</v>
          </cell>
          <cell r="R294" t="str">
            <v>1PRS</v>
          </cell>
          <cell r="S294" t="str">
            <v>JPMAM1PRS</v>
          </cell>
          <cell r="T294" t="str">
            <v>N/A</v>
          </cell>
          <cell r="U294" t="str">
            <v>N/A</v>
          </cell>
          <cell r="V294" t="str">
            <v>N/A</v>
          </cell>
          <cell r="W294" t="str">
            <v>N/A</v>
          </cell>
          <cell r="X294" t="str">
            <v>N/A</v>
          </cell>
          <cell r="Y294" t="str">
            <v>N/A</v>
          </cell>
          <cell r="Z294" t="str">
            <v>N/A</v>
          </cell>
          <cell r="AA294" t="str">
            <v>N/A</v>
          </cell>
          <cell r="AB294">
            <v>39813</v>
          </cell>
          <cell r="AC294">
            <v>41639</v>
          </cell>
        </row>
        <row r="295">
          <cell r="O295" t="str">
            <v>1-Year PTP with EPRS Tier 1</v>
          </cell>
          <cell r="P295" t="str">
            <v>1-Year PTP with EPRS Tier 1, JPM Adaptive Momentum</v>
          </cell>
          <cell r="Q295" t="str">
            <v>JPMAM</v>
          </cell>
          <cell r="R295" t="str">
            <v>1EPRST1</v>
          </cell>
          <cell r="S295" t="str">
            <v>JPMAM1EPRST1</v>
          </cell>
          <cell r="T295" t="str">
            <v>N/A</v>
          </cell>
          <cell r="U295" t="str">
            <v>N/A</v>
          </cell>
          <cell r="V295" t="str">
            <v>N/A</v>
          </cell>
          <cell r="W295" t="str">
            <v>N/A</v>
          </cell>
          <cell r="X295" t="str">
            <v>N/A</v>
          </cell>
          <cell r="Y295" t="str">
            <v>N/A</v>
          </cell>
          <cell r="Z295" t="str">
            <v>N/A</v>
          </cell>
          <cell r="AA295" t="str">
            <v>N/A</v>
          </cell>
          <cell r="AB295">
            <v>39813</v>
          </cell>
          <cell r="AC295">
            <v>41639</v>
          </cell>
        </row>
        <row r="296">
          <cell r="O296" t="str">
            <v>1-Year PTP with EPRS Tier 2</v>
          </cell>
          <cell r="P296" t="str">
            <v>1-Year PTP with EPRS Tier 2, JPM Adaptive Momentum</v>
          </cell>
          <cell r="Q296" t="str">
            <v>JPMAM</v>
          </cell>
          <cell r="R296" t="str">
            <v>1EPRST2</v>
          </cell>
          <cell r="S296" t="str">
            <v>JPMAM1EPRST2</v>
          </cell>
          <cell r="T296" t="str">
            <v>N/A</v>
          </cell>
          <cell r="U296" t="str">
            <v>N/A</v>
          </cell>
          <cell r="V296" t="str">
            <v>N/A</v>
          </cell>
          <cell r="W296" t="str">
            <v>N/A</v>
          </cell>
          <cell r="X296" t="str">
            <v>N/A</v>
          </cell>
          <cell r="Y296" t="str">
            <v>N/A</v>
          </cell>
          <cell r="Z296" t="str">
            <v>N/A</v>
          </cell>
          <cell r="AA296" t="str">
            <v>N/A</v>
          </cell>
          <cell r="AB296">
            <v>39813</v>
          </cell>
          <cell r="AC296">
            <v>41639</v>
          </cell>
        </row>
        <row r="297">
          <cell r="O297" t="str">
            <v>2-Year PTP with Cap</v>
          </cell>
          <cell r="P297" t="str">
            <v>2-Year PTP with Cap, JPM Adaptive Momentum</v>
          </cell>
          <cell r="Q297" t="str">
            <v>JPMAM</v>
          </cell>
          <cell r="R297" t="str">
            <v>2C</v>
          </cell>
          <cell r="S297" t="str">
            <v>JPMAM2C</v>
          </cell>
          <cell r="T297" t="str">
            <v>N/A</v>
          </cell>
          <cell r="U297" t="str">
            <v>N/A</v>
          </cell>
          <cell r="V297" t="str">
            <v>N/A</v>
          </cell>
          <cell r="W297" t="str">
            <v>N/A</v>
          </cell>
          <cell r="X297" t="str">
            <v>N/A</v>
          </cell>
          <cell r="Y297" t="str">
            <v>N/A</v>
          </cell>
          <cell r="Z297" t="str">
            <v>N/A</v>
          </cell>
          <cell r="AA297" t="str">
            <v>N/A</v>
          </cell>
          <cell r="AB297">
            <v>39813</v>
          </cell>
          <cell r="AC297">
            <v>41639</v>
          </cell>
        </row>
        <row r="298">
          <cell r="O298" t="str">
            <v>2-Year PTP with ParRate</v>
          </cell>
          <cell r="P298" t="str">
            <v>2-Year PTP with ParRate, JPM Adaptive Momentum</v>
          </cell>
          <cell r="Q298" t="str">
            <v>JPMAM</v>
          </cell>
          <cell r="R298" t="str">
            <v>2PR</v>
          </cell>
          <cell r="S298" t="str">
            <v>JPMAM2PR</v>
          </cell>
          <cell r="T298" t="str">
            <v>N/A</v>
          </cell>
          <cell r="U298" t="str">
            <v>N/A</v>
          </cell>
          <cell r="V298" t="str">
            <v>N/A</v>
          </cell>
          <cell r="W298" t="str">
            <v>N/A</v>
          </cell>
          <cell r="X298" t="str">
            <v>N/A</v>
          </cell>
          <cell r="Y298" t="str">
            <v>N/A</v>
          </cell>
          <cell r="Z298" t="str">
            <v>N/A</v>
          </cell>
          <cell r="AA298" t="str">
            <v>N/A</v>
          </cell>
          <cell r="AB298">
            <v>39813</v>
          </cell>
          <cell r="AC298">
            <v>41639</v>
          </cell>
        </row>
        <row r="299">
          <cell r="O299" t="str">
            <v>2-Year PTP with Spread</v>
          </cell>
          <cell r="P299" t="str">
            <v>2-Year PTP with Spread, JPM Adaptive Momentum</v>
          </cell>
          <cell r="Q299" t="str">
            <v>JPMAM</v>
          </cell>
          <cell r="R299" t="str">
            <v>2S</v>
          </cell>
          <cell r="S299" t="str">
            <v>JPMAM2S</v>
          </cell>
          <cell r="T299" t="str">
            <v>N/A</v>
          </cell>
          <cell r="U299" t="str">
            <v>N/A</v>
          </cell>
          <cell r="V299" t="str">
            <v>N/A</v>
          </cell>
          <cell r="W299" t="str">
            <v>N/A</v>
          </cell>
          <cell r="X299" t="str">
            <v>N/A</v>
          </cell>
          <cell r="Y299" t="str">
            <v>N/A</v>
          </cell>
          <cell r="Z299" t="str">
            <v>N/A</v>
          </cell>
          <cell r="AA299" t="str">
            <v>N/A</v>
          </cell>
          <cell r="AB299">
            <v>39813</v>
          </cell>
          <cell r="AC299">
            <v>41639</v>
          </cell>
        </row>
        <row r="300">
          <cell r="O300" t="str">
            <v>2-Year PTP with ParRate &amp; Spread</v>
          </cell>
          <cell r="P300" t="str">
            <v>2-Year PTP with ParRate &amp; Spread, JPM Adaptive Momentum</v>
          </cell>
          <cell r="Q300" t="str">
            <v>JPMAM</v>
          </cell>
          <cell r="R300" t="str">
            <v>2PRS</v>
          </cell>
          <cell r="S300" t="str">
            <v>JPMAM2PRS</v>
          </cell>
          <cell r="T300" t="str">
            <v>N/A</v>
          </cell>
          <cell r="U300" t="str">
            <v>N/A</v>
          </cell>
          <cell r="V300" t="str">
            <v>N/A</v>
          </cell>
          <cell r="W300" t="str">
            <v>N/A</v>
          </cell>
          <cell r="X300" t="str">
            <v>N/A</v>
          </cell>
          <cell r="Y300" t="str">
            <v>N/A</v>
          </cell>
          <cell r="Z300" t="str">
            <v>N/A</v>
          </cell>
          <cell r="AA300" t="str">
            <v>N/A</v>
          </cell>
          <cell r="AB300">
            <v>39813</v>
          </cell>
          <cell r="AC300">
            <v>41639</v>
          </cell>
        </row>
        <row r="301">
          <cell r="O301" t="str">
            <v>2-Year PTP with EPRS Tier 1</v>
          </cell>
          <cell r="P301" t="str">
            <v>2-Year PTP with EPRS Tier 1, JPM Adaptive Momentum</v>
          </cell>
          <cell r="Q301" t="str">
            <v>JPMAM</v>
          </cell>
          <cell r="R301" t="str">
            <v>2EPRST1</v>
          </cell>
          <cell r="S301" t="str">
            <v>JPMAM2EPRST1</v>
          </cell>
          <cell r="T301" t="str">
            <v>N/A</v>
          </cell>
          <cell r="U301" t="str">
            <v>N/A</v>
          </cell>
          <cell r="V301" t="str">
            <v>N/A</v>
          </cell>
          <cell r="W301" t="str">
            <v>N/A</v>
          </cell>
          <cell r="X301" t="str">
            <v>N/A</v>
          </cell>
          <cell r="Y301" t="str">
            <v>N/A</v>
          </cell>
          <cell r="Z301" t="str">
            <v>N/A</v>
          </cell>
          <cell r="AA301" t="str">
            <v>N/A</v>
          </cell>
          <cell r="AB301">
            <v>39813</v>
          </cell>
          <cell r="AC301">
            <v>41639</v>
          </cell>
        </row>
        <row r="302">
          <cell r="O302" t="str">
            <v>2-Year PTP with EPRS Tier 2</v>
          </cell>
          <cell r="P302" t="str">
            <v>2-Year PTP with EPRS Tier 2, JPM Adaptive Momentum</v>
          </cell>
          <cell r="Q302" t="str">
            <v>JPMAM</v>
          </cell>
          <cell r="R302" t="str">
            <v>2EPRST2</v>
          </cell>
          <cell r="S302" t="str">
            <v>JPMAM2EPRST2</v>
          </cell>
          <cell r="T302" t="str">
            <v>N/A</v>
          </cell>
          <cell r="U302" t="str">
            <v>N/A</v>
          </cell>
          <cell r="V302" t="str">
            <v>N/A</v>
          </cell>
          <cell r="W302" t="str">
            <v>N/A</v>
          </cell>
          <cell r="X302" t="str">
            <v>N/A</v>
          </cell>
          <cell r="Y302" t="str">
            <v>N/A</v>
          </cell>
          <cell r="Z302" t="str">
            <v>N/A</v>
          </cell>
          <cell r="AA302" t="str">
            <v>N/A</v>
          </cell>
          <cell r="AB302">
            <v>39813</v>
          </cell>
          <cell r="AC302">
            <v>41639</v>
          </cell>
        </row>
        <row r="303">
          <cell r="O303" t="str">
            <v>5-Year PTP with Cap</v>
          </cell>
          <cell r="P303" t="str">
            <v>5-Year PTP with Cap, JPM Adaptive Momentum</v>
          </cell>
          <cell r="Q303" t="str">
            <v>JPMAM</v>
          </cell>
          <cell r="R303" t="str">
            <v>5C</v>
          </cell>
          <cell r="S303" t="str">
            <v>JPMAM5C</v>
          </cell>
          <cell r="T303" t="str">
            <v>N/A</v>
          </cell>
          <cell r="U303" t="str">
            <v>N/A</v>
          </cell>
          <cell r="V303" t="str">
            <v>N/A</v>
          </cell>
          <cell r="W303" t="str">
            <v>N/A</v>
          </cell>
          <cell r="X303" t="str">
            <v>N/A</v>
          </cell>
          <cell r="Y303" t="str">
            <v>N/A</v>
          </cell>
          <cell r="Z303" t="str">
            <v>N/A</v>
          </cell>
          <cell r="AA303" t="str">
            <v>N/A</v>
          </cell>
          <cell r="AB303">
            <v>39813</v>
          </cell>
          <cell r="AC303">
            <v>41639</v>
          </cell>
        </row>
      </sheetData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orebridgefinancial.sharepoint.com/teams/Connect2/SitePages/Quick-Reference-Documents---Index-Annuities.aspx?csf=1&amp;web=1&amp;e=1cJJ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B6D0-046D-4431-B358-83277E04530A}">
  <sheetPr>
    <tabColor rgb="FFE0E0FB"/>
  </sheetPr>
  <dimension ref="B1:AM133"/>
  <sheetViews>
    <sheetView showGridLines="0" topLeftCell="E1" zoomScale="80" zoomScaleNormal="80" workbookViewId="0">
      <selection activeCell="I20" sqref="I20"/>
    </sheetView>
  </sheetViews>
  <sheetFormatPr defaultRowHeight="13.2" outlineLevelRow="1" outlineLevelCol="1" x14ac:dyDescent="0.3"/>
  <cols>
    <col min="1" max="1" width="1.5546875" style="1" customWidth="1"/>
    <col min="2" max="2" width="36.109375" style="1" bestFit="1" customWidth="1"/>
    <col min="3" max="3" width="30.44140625" style="1" bestFit="1" customWidth="1"/>
    <col min="4" max="4" width="1.5546875" style="1" customWidth="1"/>
    <col min="5" max="5" width="60.21875" style="1" bestFit="1" customWidth="1"/>
    <col min="6" max="6" width="9.44140625" style="1" customWidth="1"/>
    <col min="7" max="7" width="8.6640625" style="1" customWidth="1"/>
    <col min="8" max="8" width="13.77734375" style="1" customWidth="1"/>
    <col min="9" max="9" width="11" style="1" customWidth="1"/>
    <col min="10" max="10" width="8.5546875" style="1" customWidth="1"/>
    <col min="11" max="11" width="11" style="1" customWidth="1"/>
    <col min="12" max="12" width="11.88671875" style="1" bestFit="1" customWidth="1"/>
    <col min="13" max="13" width="1.5546875" style="9" customWidth="1" collapsed="1"/>
    <col min="14" max="14" width="1.5546875" style="3" customWidth="1"/>
    <col min="15" max="15" width="1.5546875" style="1" customWidth="1"/>
    <col min="16" max="16" width="10.88671875" style="1" customWidth="1"/>
    <col min="17" max="17" width="5.44140625" style="1" hidden="1" customWidth="1" outlineLevel="1"/>
    <col min="18" max="18" width="7" style="1" customWidth="1" collapsed="1"/>
    <col min="19" max="20" width="22.5546875" style="1" customWidth="1"/>
    <col min="21" max="23" width="22.5546875" style="1" hidden="1" customWidth="1" outlineLevel="1"/>
    <col min="24" max="24" width="17.21875" style="1" customWidth="1" collapsed="1"/>
    <col min="25" max="25" width="18.5546875" style="1" customWidth="1"/>
    <col min="26" max="27" width="16.6640625" style="1" hidden="1" customWidth="1" outlineLevel="1"/>
    <col min="28" max="28" width="21.88671875" style="1" hidden="1" customWidth="1" outlineLevel="1"/>
    <col min="29" max="29" width="12.6640625" style="1" customWidth="1" collapsed="1"/>
    <col min="30" max="30" width="12.6640625" style="1" customWidth="1"/>
    <col min="31" max="31" width="9.6640625" style="1" customWidth="1"/>
    <col min="32" max="32" width="18.5546875" style="1" customWidth="1"/>
    <col min="33" max="33" width="16.5546875" style="1" bestFit="1" customWidth="1"/>
    <col min="34" max="34" width="17.77734375" style="1" bestFit="1" customWidth="1"/>
    <col min="35" max="35" width="12" style="1" hidden="1" customWidth="1" outlineLevel="1"/>
    <col min="36" max="36" width="11.6640625" style="1" hidden="1" customWidth="1" outlineLevel="1"/>
    <col min="37" max="37" width="15.44140625" style="1" customWidth="1" collapsed="1"/>
    <col min="38" max="38" width="1.5546875" style="9" customWidth="1" collapsed="1"/>
    <col min="39" max="39" width="1.5546875" style="3" customWidth="1"/>
    <col min="40" max="40" width="1.5546875" style="1" customWidth="1"/>
    <col min="41" max="16384" width="8.88671875" style="1"/>
  </cols>
  <sheetData>
    <row r="1" spans="2:38" x14ac:dyDescent="0.3">
      <c r="M1" s="2"/>
      <c r="AL1" s="2"/>
    </row>
    <row r="2" spans="2:38" ht="15.6" x14ac:dyDescent="0.3">
      <c r="B2" s="533" t="str">
        <f>"Corebridge "&amp;Product&amp;" ‒ Hypothetical Illustration for "&amp;$C$10</f>
        <v>Corebridge Power Index Plus ‒ Hypothetical Illustration for Valued Client</v>
      </c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2"/>
      <c r="P2" s="534" t="str">
        <f>"Corebridge "&amp;Product&amp;" ‒ Hypothetical Illustration for "&amp;$C$10</f>
        <v>Corebridge Power Index Plus ‒ Hypothetical Illustration for Valued Client</v>
      </c>
      <c r="Q2" s="534"/>
      <c r="R2" s="534"/>
      <c r="S2" s="534"/>
      <c r="T2" s="534"/>
      <c r="U2" s="534"/>
      <c r="V2" s="534"/>
      <c r="W2" s="534"/>
      <c r="X2" s="534"/>
      <c r="Y2" s="534"/>
      <c r="Z2" s="534"/>
      <c r="AA2" s="534"/>
      <c r="AB2" s="534"/>
      <c r="AC2" s="534"/>
      <c r="AD2" s="534"/>
      <c r="AE2" s="534"/>
      <c r="AF2" s="534"/>
      <c r="AG2" s="534"/>
      <c r="AH2" s="534"/>
      <c r="AI2" s="534"/>
      <c r="AJ2" s="534"/>
      <c r="AK2" s="534"/>
      <c r="AL2" s="2"/>
    </row>
    <row r="3" spans="2:38" x14ac:dyDescent="0.3">
      <c r="M3" s="2"/>
      <c r="AL3" s="2"/>
    </row>
    <row r="4" spans="2:38" x14ac:dyDescent="0.3">
      <c r="B4" s="504" t="s">
        <v>0</v>
      </c>
      <c r="C4" s="504"/>
      <c r="D4" s="4"/>
      <c r="E4" s="504" t="s">
        <v>1</v>
      </c>
      <c r="F4" s="504"/>
      <c r="G4" s="504"/>
      <c r="H4" s="504"/>
      <c r="I4" s="504"/>
      <c r="J4" s="504"/>
      <c r="K4" s="504"/>
      <c r="L4" s="504"/>
      <c r="M4" s="2"/>
      <c r="P4" s="504" t="str">
        <f>IF(OR(Summary="Favorable",Summary="Unfavorable"),"Interest Crediting Strategy Level Summary","Contract Level Summary")</f>
        <v>Contract Level Summary</v>
      </c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J4" s="504"/>
      <c r="AK4" s="504"/>
      <c r="AL4" s="2"/>
    </row>
    <row r="5" spans="2:38" ht="26.4" hidden="1" outlineLevel="1" x14ac:dyDescent="0.3">
      <c r="B5" s="5"/>
      <c r="C5" s="6"/>
      <c r="D5" s="7"/>
      <c r="E5" s="5"/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7</v>
      </c>
      <c r="L5" s="6" t="s">
        <v>8</v>
      </c>
      <c r="P5" s="5"/>
      <c r="Q5" s="8"/>
      <c r="R5" s="8"/>
      <c r="S5" s="8">
        <v>1</v>
      </c>
      <c r="T5" s="8">
        <v>2</v>
      </c>
      <c r="U5" s="8">
        <v>3</v>
      </c>
      <c r="V5" s="8">
        <v>4</v>
      </c>
      <c r="W5" s="8">
        <v>5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6"/>
      <c r="AL5" s="2"/>
    </row>
    <row r="6" spans="2:38" hidden="1" outlineLevel="1" x14ac:dyDescent="0.3">
      <c r="B6" s="10"/>
      <c r="C6" s="11"/>
      <c r="D6" s="7"/>
      <c r="E6" s="10"/>
      <c r="F6" s="12"/>
      <c r="G6" s="12"/>
      <c r="H6" s="12"/>
      <c r="I6" s="12"/>
      <c r="J6" s="12"/>
      <c r="K6" s="12"/>
      <c r="L6" s="11"/>
      <c r="P6" s="10"/>
      <c r="Q6" s="12"/>
      <c r="R6" s="12"/>
      <c r="S6" s="12" t="str">
        <f>IF(OR(Summary="Favorable",Summary="Unfavorable"),IF(IFERROR(VLOOKUP(INDEX([1]STRTG!$D$68:$D$321,MATCH(S$5,[1]STRTG!$C$68:$C$321,0),1),[1]STRTG!$N$14:$Q$303,4,FALSE),"")&lt;&gt;'Inputs &amp; Summary'!$R$7,"",IFERROR(VLOOKUP(INDEX([1]STRTG!$D$68:$D$321,MATCH(S$5,[1]STRTG!$C$68:$C$321,0),1),[1]STRTG!$N$14:$Q$303,4,FALSE),"")),IFERROR(VLOOKUP(INDEX([1]STRTG!$D$68:$D$321,MATCH(S$5,[1]STRTG!$C$68:$C$321,0),1),[1]STRTG!$N$14:$Q$303,4,FALSE),""))</f>
        <v>GSPC</v>
      </c>
      <c r="T6" s="12" t="str">
        <f>IF(OR(Summary="Favorable",Summary="Unfavorable"),IF(IFERROR(VLOOKUP(INDEX([1]STRTG!$D$68:$D$321,MATCH(T$5,[1]STRTG!$C$68:$C$321,0),1),[1]STRTG!$N$14:$Q$303,4,FALSE),"")&lt;&gt;'Inputs &amp; Summary'!$R$7,"",IFERROR(VLOOKUP(INDEX([1]STRTG!$D$68:$D$321,MATCH(T$5,[1]STRTG!$C$68:$C$321,0),1),[1]STRTG!$N$14:$Q$303,4,FALSE),"")),IFERROR(VLOOKUP(INDEX([1]STRTG!$D$68:$D$321,MATCH(T$5,[1]STRTG!$C$68:$C$321,0),1),[1]STRTG!$N$14:$Q$303,4,FALSE),""))</f>
        <v>PIMGOPT</v>
      </c>
      <c r="U6" s="12" t="str">
        <f>IF(OR(Summary="Favorable",Summary="Unfavorable"),IF(IFERROR(VLOOKUP(INDEX([1]STRTG!$D$68:$D$321,MATCH(U$5,[1]STRTG!$C$68:$C$321,0),1),[1]STRTG!$N$14:$Q$303,4,FALSE),"")&lt;&gt;'Inputs &amp; Summary'!$R$7,"",IFERROR(VLOOKUP(INDEX([1]STRTG!$D$68:$D$321,MATCH(U$5,[1]STRTG!$C$68:$C$321,0),1),[1]STRTG!$N$14:$Q$303,4,FALSE),"")),IFERROR(VLOOKUP(INDEX([1]STRTG!$D$68:$D$321,MATCH(U$5,[1]STRTG!$C$68:$C$321,0),1),[1]STRTG!$N$14:$Q$303,4,FALSE),""))</f>
        <v>MLSB</v>
      </c>
      <c r="V6" s="12" t="str">
        <f>IF(OR(Summary="Favorable",Summary="Unfavorable"),IF(IFERROR(VLOOKUP(INDEX([1]STRTG!$D$68:$D$321,MATCH(V$5,[1]STRTG!$C$68:$C$321,0),1),[1]STRTG!$N$14:$Q$303,4,FALSE),"")&lt;&gt;'Inputs &amp; Summary'!$R$7,"",IFERROR(VLOOKUP(INDEX([1]STRTG!$D$68:$D$321,MATCH(V$5,[1]STRTG!$C$68:$C$321,0),1),[1]STRTG!$N$14:$Q$303,4,FALSE),"")),IFERROR(VLOOKUP(INDEX([1]STRTG!$D$68:$D$321,MATCH(V$5,[1]STRTG!$C$68:$C$321,0),1),[1]STRTG!$N$14:$Q$303,4,FALSE),""))</f>
        <v/>
      </c>
      <c r="W6" s="12" t="str">
        <f>IF(OR(Summary="Favorable",Summary="Unfavorable"),IF(IFERROR(VLOOKUP(INDEX([1]STRTG!$D$68:$D$321,MATCH(W$5,[1]STRTG!$C$68:$C$321,0),1),[1]STRTG!$N$14:$Q$303,4,FALSE),"")&lt;&gt;'Inputs &amp; Summary'!$R$7,"",IFERROR(VLOOKUP(INDEX([1]STRTG!$D$68:$D$321,MATCH(W$5,[1]STRTG!$C$68:$C$321,0),1),[1]STRTG!$N$14:$Q$303,4,FALSE),"")),IFERROR(VLOOKUP(INDEX([1]STRTG!$D$68:$D$321,MATCH(W$5,[1]STRTG!$C$68:$C$321,0),1),[1]STRTG!$N$14:$Q$303,4,FALSE),""))</f>
        <v/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1"/>
    </row>
    <row r="7" spans="2:38" collapsed="1" x14ac:dyDescent="0.3">
      <c r="E7" s="524" t="str">
        <f>IF(OR('Inputs &amp; Summary'!$C$141="N",COUNTIFS('Inputs &amp; Summary'!$B$142:$B$171,"&lt;&gt;",'Inputs &amp; Summary'!$C$142:$C$171,"&gt;0")&lt;&gt;COUNTIF('Inputs &amp; Summary'!$C$142:$C$171,"&gt;0")),"!!! Review Strategy Allocations and Make Appropriate Adjustments !!!","Illustrated Interest Crediting Strategies")</f>
        <v>Illustrated Interest Crediting Strategies</v>
      </c>
      <c r="F7" s="524" t="s">
        <v>2</v>
      </c>
      <c r="G7" s="524" t="s">
        <v>9</v>
      </c>
      <c r="H7" s="524" t="s">
        <v>10</v>
      </c>
      <c r="I7" s="524" t="s">
        <v>11</v>
      </c>
      <c r="J7" s="524" t="s">
        <v>6</v>
      </c>
      <c r="K7" s="524" t="s">
        <v>12</v>
      </c>
      <c r="L7" s="524" t="s">
        <v>8</v>
      </c>
    </row>
    <row r="8" spans="2:38" ht="12.3" customHeight="1" x14ac:dyDescent="0.3">
      <c r="B8" s="13"/>
      <c r="C8" s="13"/>
      <c r="E8" s="525"/>
      <c r="F8" s="525"/>
      <c r="G8" s="525" t="s">
        <v>9</v>
      </c>
      <c r="H8" s="525"/>
      <c r="I8" s="525"/>
      <c r="J8" s="525"/>
      <c r="K8" s="525"/>
      <c r="L8" s="525"/>
    </row>
    <row r="9" spans="2:38" ht="12.3" customHeight="1" x14ac:dyDescent="0.3">
      <c r="B9" s="14"/>
      <c r="C9" s="14"/>
      <c r="E9" s="526"/>
      <c r="F9" s="526"/>
      <c r="G9" s="526"/>
      <c r="H9" s="526"/>
      <c r="I9" s="526"/>
      <c r="J9" s="526"/>
      <c r="K9" s="526"/>
      <c r="L9" s="526"/>
      <c r="P9" s="527" t="s">
        <v>13</v>
      </c>
      <c r="Q9" s="530" t="s">
        <v>13</v>
      </c>
      <c r="R9" s="530" t="s">
        <v>14</v>
      </c>
      <c r="S9" s="511" t="s">
        <v>15</v>
      </c>
      <c r="T9" s="511"/>
      <c r="U9" s="511"/>
      <c r="V9" s="511"/>
      <c r="W9" s="511"/>
      <c r="X9" s="512" t="s">
        <v>16</v>
      </c>
      <c r="Y9" s="513"/>
      <c r="Z9" s="513"/>
      <c r="AA9" s="513"/>
      <c r="AB9" s="513"/>
      <c r="AC9" s="513"/>
      <c r="AD9" s="513"/>
      <c r="AE9" s="513"/>
      <c r="AF9" s="513"/>
      <c r="AG9" s="513"/>
      <c r="AH9" s="513"/>
      <c r="AI9" s="513"/>
      <c r="AJ9" s="514"/>
      <c r="AK9" s="518" t="s">
        <v>17</v>
      </c>
    </row>
    <row r="10" spans="2:38" x14ac:dyDescent="0.3">
      <c r="B10" s="15" t="s">
        <v>18</v>
      </c>
      <c r="C10" s="16" t="str">
        <f>'Inputs &amp; Summary'!C32</f>
        <v>Valued Client</v>
      </c>
      <c r="D10" s="17"/>
      <c r="E10" s="18" t="str" cm="1">
        <f t="array" ref="E10:E13">_xlfn.UNIQUE(_xlfn._xlws.FILTER('Inputs &amp; Summary'!$B$142:$B$171,'Inputs &amp; Summary'!$C$142:$C$171&gt;0))</f>
        <v>1-Year Fixed Rate, Fixed Account</v>
      </c>
      <c r="F10" s="20">
        <f>IF($E10="","",INDEX([1]STRTG!$T$14:$AC$303,MATCH($E10,[1]STRTG!$P$14:$P$303,0),MATCH(F$5,[1]STRTG!$T$13:$AC$13,0)))</f>
        <v>4.4999999999999998E-2</v>
      </c>
      <c r="G10" s="20" t="str">
        <f>IF($E10="","",INDEX([1]STRTG!$T$14:$AC$303,MATCH($E10,[1]STRTG!$P$14:$P$303,0),MATCH(G$5,[1]STRTG!$T$13:$AC$13,0)))</f>
        <v>N/A</v>
      </c>
      <c r="H10" s="20" t="str">
        <f>IF($E10="","",INDEX([1]STRTG!$T$14:$AC$303,MATCH($E10,[1]STRTG!$P$14:$P$303,0),MATCH(H$5,[1]STRTG!$T$13:$AC$13,0)))</f>
        <v>N/A</v>
      </c>
      <c r="I10" s="20" t="str">
        <f>IF($E10="","",INDEX([1]STRTG!$T$14:$AC$303,MATCH($E10,[1]STRTG!$P$14:$P$303,0),MATCH(I$5,[1]STRTG!$T$13:$AC$13,0)))</f>
        <v>N/A</v>
      </c>
      <c r="J10" s="20" t="str">
        <f>IF($E10="","",INDEX([1]STRTG!$T$14:$AC$303,MATCH($E10,[1]STRTG!$P$14:$P$303,0),MATCH(J$5,[1]STRTG!$T$13:$AC$13,0)))</f>
        <v>N/A</v>
      </c>
      <c r="K10" s="20" t="str">
        <f>IF($E10="","",IF(RIGHT(VLOOKUP($E10,[1]STRTG!$P$14:$S$303,4,FALSE),6)="EPRST1",Ref!$C$103,IF(RIGHT(VLOOKUP($E10,[1]STRTG!$P$14:$S$303,4,FALSE),6)="EPRST2",Ref!$C$104,"N/A")))</f>
        <v>N/A</v>
      </c>
      <c r="L10" s="21">
        <f>IF($E10="","",INDEX([1]STRTG!$T$14:$AC$303,MATCH($E10,[1]STRTG!$P$14:$P$303,0),MATCH(L$5,[1]STRTG!$T$13:$AC$13,0)))</f>
        <v>0.1</v>
      </c>
      <c r="P10" s="528"/>
      <c r="Q10" s="531"/>
      <c r="R10" s="531"/>
      <c r="S10" s="22" t="s">
        <v>19</v>
      </c>
      <c r="T10" s="22" t="s">
        <v>19</v>
      </c>
      <c r="U10" s="22" t="s">
        <v>19</v>
      </c>
      <c r="V10" s="22" t="s">
        <v>19</v>
      </c>
      <c r="W10" s="22" t="s">
        <v>19</v>
      </c>
      <c r="X10" s="515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7"/>
      <c r="AK10" s="519"/>
    </row>
    <row r="11" spans="2:38" ht="32.1" customHeight="1" x14ac:dyDescent="0.3">
      <c r="B11" s="23" t="s">
        <v>20</v>
      </c>
      <c r="C11" s="24" t="str">
        <f>Election</f>
        <v>Single Life</v>
      </c>
      <c r="D11" s="17"/>
      <c r="E11" s="19" t="str">
        <v>1-Year PTP with Secure Cap, S&amp;P 500</v>
      </c>
      <c r="F11" s="25" t="str">
        <f>IF($E11="","",INDEX([1]STRTG!$T$14:$AC$303,MATCH($E11,[1]STRTG!$P$14:$P$303,0),MATCH(F$5,[1]STRTG!$T$13:$AC$13,0)))</f>
        <v>N/A</v>
      </c>
      <c r="G11" s="25">
        <f>IF($E11="","",INDEX([1]STRTG!$T$14:$AC$303,MATCH($E11,[1]STRTG!$P$14:$P$303,0),MATCH(G$5,[1]STRTG!$T$13:$AC$13,0)))</f>
        <v>0</v>
      </c>
      <c r="H11" s="25" t="str">
        <f>IF($E11="","",INDEX([1]STRTG!$T$14:$AC$303,MATCH($E11,[1]STRTG!$P$14:$P$303,0),MATCH(H$5,[1]STRTG!$T$13:$AC$13,0)))</f>
        <v>N/A</v>
      </c>
      <c r="I11" s="25" t="str">
        <f>IF($E11="","",INDEX([1]STRTG!$T$14:$AC$303,MATCH($E11,[1]STRTG!$P$14:$P$303,0),MATCH(I$5,[1]STRTG!$T$13:$AC$13,0)))</f>
        <v>N/A</v>
      </c>
      <c r="J11" s="25" t="str">
        <f>IF($E11="","",INDEX([1]STRTG!$T$14:$AC$303,MATCH($E11,[1]STRTG!$P$14:$P$303,0),MATCH(J$5,[1]STRTG!$T$13:$AC$13,0)))</f>
        <v>N/A</v>
      </c>
      <c r="K11" s="25" t="str">
        <f>IF($E11="","",IF(RIGHT(VLOOKUP($E11,[1]STRTG!$P$14:$S$303,4,FALSE),6)="EPRST1",Ref!$C$103,IF(RIGHT(VLOOKUP($E11,[1]STRTG!$P$14:$S$303,4,FALSE),6)="EPRST2",Ref!$C$104,"N/A")))</f>
        <v>N/A</v>
      </c>
      <c r="L11" s="26">
        <f>IF($E11="","",INDEX([1]STRTG!$T$14:$AC$303,MATCH($E11,[1]STRTG!$P$14:$P$303,0),MATCH(L$5,[1]STRTG!$T$13:$AC$13,0)))</f>
        <v>0.4</v>
      </c>
      <c r="P11" s="528"/>
      <c r="Q11" s="531"/>
      <c r="R11" s="531"/>
      <c r="S11" s="520" t="str">
        <f>IF(S$6="","",IF(INDEX([1]Allocated!$D$11:$AY$11,1,MATCH(S$5,[1]Allocated!$D$13:$AY$13,0))="","",INDEX([1]Allocated!$D$11:$AY$11,1,MATCH(S$5,[1]Allocated!$D$13:$AY$13,0))&amp;" "&amp;VLOOKUP(S$10,Ref!$Y$61:$AA$63,3,FALSE)))</f>
        <v>S&amp;P 500 Index Annual Change</v>
      </c>
      <c r="T11" s="520" t="str">
        <f>IF(T$6="","",IF(INDEX([1]Allocated!$D$11:$AY$11,1,MATCH(T$5,[1]Allocated!$D$13:$AY$13,0))="","",INDEX([1]Allocated!$D$11:$AY$11,1,MATCH(T$5,[1]Allocated!$D$13:$AY$13,0))&amp;" "&amp;VLOOKUP(T$10,Ref!$Y$61:$AA$63,3,FALSE)))</f>
        <v>PIMCO Global Optima Index Annual Change</v>
      </c>
      <c r="U11" s="520" t="str">
        <f>IF(U$6="","",IF(INDEX([1]Allocated!$D$11:$AY$11,1,MATCH(U$5,[1]Allocated!$D$13:$AY$13,0))="","",INDEX([1]Allocated!$D$11:$AY$11,1,MATCH(U$5,[1]Allocated!$D$13:$AY$13,0))&amp;" "&amp;VLOOKUP(U$10,Ref!$Y$61:$AA$63,3,FALSE)))</f>
        <v>MLSB Index Annual Change</v>
      </c>
      <c r="V11" s="520" t="str">
        <f>IF(V$6="","",IF(INDEX([1]Allocated!$D$11:$AY$11,1,MATCH(V$5,[1]Allocated!$D$13:$AY$13,0))="","",INDEX([1]Allocated!$D$11:$AY$11,1,MATCH(V$5,[1]Allocated!$D$13:$AY$13,0))&amp;" "&amp;VLOOKUP(V$10,Ref!$Y$61:$AA$63,3,FALSE)))</f>
        <v/>
      </c>
      <c r="W11" s="520" t="str">
        <f>IF(W$6="","",IF(INDEX([1]Allocated!$D$11:$AY$11,1,MATCH(W$5,[1]Allocated!$D$13:$AY$13,0))="","",INDEX([1]Allocated!$D$11:$AY$11,1,MATCH(W$5,[1]Allocated!$D$13:$AY$13,0))&amp;" "&amp;VLOOKUP(W$10,Ref!$Y$61:$AA$63,3,FALSE)))</f>
        <v/>
      </c>
      <c r="X11" s="500" t="s">
        <v>21</v>
      </c>
      <c r="Y11" s="27" t="str">
        <f>IF(OR(PTab="P7",AND(PTab="P2",Ref!$S$53="Y")),"Interest Earned including","Interest Earned")</f>
        <v>Interest Earned including</v>
      </c>
      <c r="Z11" s="522" t="str">
        <f>IF(AND(LivBen&lt;&gt;"None",RIGHT(Category,2)&lt;&gt;"NY"),"Income Base","")</f>
        <v/>
      </c>
      <c r="AA11" s="505" t="str">
        <f>IF(AND(LivBen&lt;&gt;"None",RIGHT(Category,2)&lt;&gt;"NY"),"Income Credit","")</f>
        <v/>
      </c>
      <c r="AB11" s="505" t="str">
        <f>IF(AND(LivBen&lt;&gt;"None",RIGHT(Category,2)&lt;&gt;"NY"),"Annual Income for Life",IF(AND(LivBen&lt;&gt;"None",RIGHT(Category,2)="NY"),"Guaranteed Lifetime Income Amount",""))</f>
        <v/>
      </c>
      <c r="AC11" s="505" t="s">
        <v>22</v>
      </c>
      <c r="AD11" s="507" t="s">
        <v>23</v>
      </c>
      <c r="AE11" s="509" t="s">
        <v>24</v>
      </c>
      <c r="AF11" s="500" t="s">
        <v>25</v>
      </c>
      <c r="AG11" s="500" t="s">
        <v>26</v>
      </c>
      <c r="AH11" s="500" t="str">
        <f>IF(RIGHT(Category,2)="NY","Minimum Accumulation Value","Minimum Withdrawal Value")</f>
        <v>Minimum Withdrawal Value</v>
      </c>
      <c r="AI11" s="500" t="str">
        <f>IF(PTab="P7","GROP Amount",IF(Ref!$S$53="Y","GMAB Value",""))</f>
        <v>GMAB Value</v>
      </c>
      <c r="AJ11" s="500" t="str">
        <f>IF(PTab="P7","Overlay Credit",IF(Ref!$S$53="Y","GMAB Amount",""))</f>
        <v>GMAB Amount</v>
      </c>
      <c r="AK11" s="502" t="s">
        <v>27</v>
      </c>
    </row>
    <row r="12" spans="2:38" ht="38.4" customHeight="1" x14ac:dyDescent="0.3">
      <c r="B12" s="23" t="s">
        <v>28</v>
      </c>
      <c r="C12" s="24">
        <f>IssAge1</f>
        <v>73</v>
      </c>
      <c r="D12" s="17"/>
      <c r="E12" s="19" t="str">
        <v>1-Year PTP with Cap, PIMCO Global Optima</v>
      </c>
      <c r="F12" s="25" t="str">
        <f>IF($E12="","",INDEX([1]STRTG!$T$14:$AC$303,MATCH($E12,[1]STRTG!$P$14:$P$303,0),MATCH(F$5,[1]STRTG!$T$13:$AC$13,0)))</f>
        <v>N/A</v>
      </c>
      <c r="G12" s="25">
        <f>IF($E12="","",INDEX([1]STRTG!$T$14:$AC$303,MATCH($E12,[1]STRTG!$P$14:$P$303,0),MATCH(G$5,[1]STRTG!$T$13:$AC$13,0)))</f>
        <v>0.115</v>
      </c>
      <c r="H12" s="25" t="str">
        <f>IF($E12="","",INDEX([1]STRTG!$T$14:$AC$303,MATCH($E12,[1]STRTG!$P$14:$P$303,0),MATCH(H$5,[1]STRTG!$T$13:$AC$13,0)))</f>
        <v>N/A</v>
      </c>
      <c r="I12" s="25" t="str">
        <f>IF($E12="","",INDEX([1]STRTG!$T$14:$AC$303,MATCH($E12,[1]STRTG!$P$14:$P$303,0),MATCH(I$5,[1]STRTG!$T$13:$AC$13,0)))</f>
        <v>N/A</v>
      </c>
      <c r="J12" s="25" t="str">
        <f>IF($E12="","",INDEX([1]STRTG!$T$14:$AC$303,MATCH($E12,[1]STRTG!$P$14:$P$303,0),MATCH(J$5,[1]STRTG!$T$13:$AC$13,0)))</f>
        <v>N/A</v>
      </c>
      <c r="K12" s="25" t="str">
        <f>IF($E12="","",IF(RIGHT(VLOOKUP($E12,[1]STRTG!$P$14:$S$303,4,FALSE),6)="EPRST1",Ref!$C$103,IF(RIGHT(VLOOKUP($E12,[1]STRTG!$P$14:$S$303,4,FALSE),6)="EPRST2",Ref!$C$104,"N/A")))</f>
        <v>N/A</v>
      </c>
      <c r="L12" s="26">
        <f>IF($E12="","",INDEX([1]STRTG!$T$14:$AC$303,MATCH($E12,[1]STRTG!$P$14:$P$303,0),MATCH(L$5,[1]STRTG!$T$13:$AC$13,0)))</f>
        <v>0.1</v>
      </c>
      <c r="P12" s="529"/>
      <c r="Q12" s="532"/>
      <c r="R12" s="532"/>
      <c r="S12" s="521"/>
      <c r="T12" s="521"/>
      <c r="U12" s="521"/>
      <c r="V12" s="521"/>
      <c r="W12" s="521"/>
      <c r="X12" s="501"/>
      <c r="Y12" s="28" t="e">
        <f ca="1">'Inputs &amp; Summary'!T10</f>
        <v>#REF!</v>
      </c>
      <c r="Z12" s="523"/>
      <c r="AA12" s="506"/>
      <c r="AB12" s="506"/>
      <c r="AC12" s="506"/>
      <c r="AD12" s="508"/>
      <c r="AE12" s="510"/>
      <c r="AF12" s="501"/>
      <c r="AG12" s="501"/>
      <c r="AH12" s="501"/>
      <c r="AI12" s="501"/>
      <c r="AJ12" s="501"/>
      <c r="AK12" s="503"/>
    </row>
    <row r="13" spans="2:38" x14ac:dyDescent="0.3">
      <c r="B13" s="23" t="s">
        <v>29</v>
      </c>
      <c r="C13" s="24" t="str">
        <f>IF(Election = "Joint Life",IssAge2,"N/A")</f>
        <v>N/A</v>
      </c>
      <c r="D13" s="17"/>
      <c r="E13" s="19" t="str">
        <v>1-Year PTP with ParRate, MLSB</v>
      </c>
      <c r="F13" s="25" t="str">
        <f>IF($E13="","",INDEX([1]STRTG!$T$14:$AC$303,MATCH($E13,[1]STRTG!$P$14:$P$303,0),MATCH(F$5,[1]STRTG!$T$13:$AC$13,0)))</f>
        <v>N/A</v>
      </c>
      <c r="G13" s="25" t="str">
        <f>IF($E13="","",INDEX([1]STRTG!$T$14:$AC$303,MATCH($E13,[1]STRTG!$P$14:$P$303,0),MATCH(G$5,[1]STRTG!$T$13:$AC$13,0)))</f>
        <v>N/A</v>
      </c>
      <c r="H13" s="25">
        <f>IF($E13="","",INDEX([1]STRTG!$T$14:$AC$303,MATCH($E13,[1]STRTG!$P$14:$P$303,0),MATCH(H$5,[1]STRTG!$T$13:$AC$13,0)))</f>
        <v>0.97</v>
      </c>
      <c r="I13" s="25" t="str">
        <f>IF($E13="","",INDEX([1]STRTG!$T$14:$AC$303,MATCH($E13,[1]STRTG!$P$14:$P$303,0),MATCH(I$5,[1]STRTG!$T$13:$AC$13,0)))</f>
        <v>N/A</v>
      </c>
      <c r="J13" s="25" t="str">
        <f>IF($E13="","",INDEX([1]STRTG!$T$14:$AC$303,MATCH($E13,[1]STRTG!$P$14:$P$303,0),MATCH(J$5,[1]STRTG!$T$13:$AC$13,0)))</f>
        <v>N/A</v>
      </c>
      <c r="K13" s="25" t="str">
        <f>IF($E13="","",IF(RIGHT(VLOOKUP($E13,[1]STRTG!$P$14:$S$303,4,FALSE),6)="EPRST1",Ref!$C$103,IF(RIGHT(VLOOKUP($E13,[1]STRTG!$P$14:$S$303,4,FALSE),6)="EPRST2",Ref!$C$104,"N/A")))</f>
        <v>N/A</v>
      </c>
      <c r="L13" s="26">
        <f>IF($E13="","",INDEX([1]STRTG!$T$14:$AC$303,MATCH($E13,[1]STRTG!$P$14:$P$303,0),MATCH(L$5,[1]STRTG!$T$13:$AC$13,0)))</f>
        <v>0.4</v>
      </c>
      <c r="P13" s="29" t="str">
        <f>IF('Inputs &amp; Summary'!O11="","",IF('Inputs &amp; Summary'!O11=0,"At Issue",'Inputs &amp; Summary'!P11))</f>
        <v>At Issue</v>
      </c>
      <c r="Q13" s="30">
        <f>IF($P13="","",'Inputs &amp; Summary'!O11)</f>
        <v>0</v>
      </c>
      <c r="R13" s="30" t="e">
        <f ca="1">IF($P13="","",'Inputs &amp; Summary'!Q11)</f>
        <v>#REF!</v>
      </c>
      <c r="S13" s="31" cm="1">
        <f t="array" aca="1" ref="S13" ca="1">IF($P13="","",IF(S$11="",0,IFERROR(INDEX(INDIRECT(S$6&amp;VLOOKUP(Summary,Ref!$Y$13:$AC$18,3,FALSE)),MATCH(IF($P13="At Issue",VLOOKUP(Summary,Ref!$Y$13:$AC$18,2,FALSE),$P13),INDIRECT(S$6&amp;VLOOKUP(Summary,Ref!$Y$13:$AC$18,4,FALSE)),0),VLOOKUP(S$10,Ref!$Y$61:$AA$63,2,FALSE)),0)))</f>
        <v>0</v>
      </c>
      <c r="T13" s="31" cm="1">
        <f t="array" aca="1" ref="T13" ca="1">IF($P13="","",IF(T$11="",0,IFERROR(INDEX(INDIRECT(T$6&amp;VLOOKUP(Summary,Ref!$Y$13:$AC$18,3,FALSE)),MATCH(IF($P13="At Issue",VLOOKUP(Summary,Ref!$Y$13:$AC$18,2,FALSE),$P13),INDIRECT(T$6&amp;VLOOKUP(Summary,Ref!$Y$13:$AC$18,4,FALSE)),0),VLOOKUP(T$10,Ref!$Y$61:$AA$63,2,FALSE)),0)))</f>
        <v>0</v>
      </c>
      <c r="U13" s="31" cm="1">
        <f t="array" aca="1" ref="U13" ca="1">IF($P13="","",IF(U$11="",0,IFERROR(INDEX(INDIRECT(U$6&amp;VLOOKUP(Summary,Ref!$Y$13:$AC$18,3,FALSE)),MATCH(IF($P13="At Issue",VLOOKUP(Summary,Ref!$Y$13:$AC$18,2,FALSE),$P13),INDIRECT(U$6&amp;VLOOKUP(Summary,Ref!$Y$13:$AC$18,4,FALSE)),0),VLOOKUP(U$10,Ref!$Y$61:$AA$63,2,FALSE)),0)))</f>
        <v>0</v>
      </c>
      <c r="V13" s="31" cm="1">
        <f t="array" aca="1" ref="V13" ca="1">IF($P13="","",IF(V$11="",0,IFERROR(INDEX(INDIRECT(V$6&amp;VLOOKUP(Summary,Ref!$Y$13:$AC$18,3,FALSE)),MATCH(IF($P13="At Issue",VLOOKUP(Summary,Ref!$Y$13:$AC$18,2,FALSE),$P13),INDIRECT(V$6&amp;VLOOKUP(Summary,Ref!$Y$13:$AC$18,4,FALSE)),0),VLOOKUP(V$10,Ref!$Y$61:$AA$63,2,FALSE)),0)))</f>
        <v>0</v>
      </c>
      <c r="W13" s="31" cm="1">
        <f t="array" aca="1" ref="W13" ca="1">IF($P13="","",IF(W$11="",0,IFERROR(INDEX(INDIRECT(W$6&amp;VLOOKUP(Summary,Ref!$Y$13:$AC$18,3,FALSE)),MATCH(IF($P13="At Issue",VLOOKUP(Summary,Ref!$Y$13:$AC$18,2,FALSE),$P13),INDIRECT(W$6&amp;VLOOKUP(Summary,Ref!$Y$13:$AC$18,4,FALSE)),0),VLOOKUP(W$10,Ref!$Y$61:$AA$63,2,FALSE)),0)))</f>
        <v>0</v>
      </c>
      <c r="X13" s="32" t="e">
        <f ca="1">IF($P13="","",'Inputs &amp; Summary'!S11)</f>
        <v>#REF!</v>
      </c>
      <c r="Y13" s="33" t="e">
        <f ca="1">IF($P13="","",'Inputs &amp; Summary'!T11)</f>
        <v>#REF!</v>
      </c>
      <c r="Z13" s="34">
        <f>IF($P13="","",IF($Z$11="",0,'Inputs &amp; Summary'!X11))</f>
        <v>0</v>
      </c>
      <c r="AA13" s="35">
        <f>IF($P13="","",IF($AA$11="",0,IF(AND(LivBen&lt;&gt;"None",RIGHT(Category,2)&lt;&gt;"NY"),'Inputs &amp; Summary'!AH11,"")))</f>
        <v>0</v>
      </c>
      <c r="AB13" s="35" t="e">
        <f ca="1">IF($P13="","",'Inputs &amp; Summary'!Y11)</f>
        <v>#REF!</v>
      </c>
      <c r="AC13" s="36">
        <f ca="1">IF($P13="","",IF(RIGHT(Category,2)="NY",'Inputs &amp; Summary'!AH11,SUM('Inputs &amp; Summary'!AB11,'Inputs &amp; Summary'!AE11*('Inputs &amp; Summary'!AD11="Yes"),'Inputs &amp; Summary'!AG11)))</f>
        <v>0</v>
      </c>
      <c r="AD13" s="33">
        <f ca="1">IF($P13="","",'Inputs &amp; Summary'!AI11)</f>
        <v>0</v>
      </c>
      <c r="AE13" s="36">
        <f ca="1">IF($P13="","",'Inputs &amp; Summary'!Z11)</f>
        <v>0</v>
      </c>
      <c r="AF13" s="36" t="e">
        <f ca="1">IF($P13="","",'Inputs &amp; Summary'!U11)</f>
        <v>#REF!</v>
      </c>
      <c r="AG13" s="36" t="e">
        <f ca="1">IF($P13="","",'Inputs &amp; Summary'!V11)</f>
        <v>#REF!</v>
      </c>
      <c r="AH13" s="36" t="e">
        <f ca="1">IF($P13="","",'Inputs &amp; Summary'!W11)</f>
        <v>#REF!</v>
      </c>
      <c r="AI13" s="36" t="e">
        <f ca="1">IF($P13="","",IF($AI$11="",0,'Inputs &amp; Summary'!AM11))</f>
        <v>#REF!</v>
      </c>
      <c r="AJ13" s="36" t="e">
        <f ca="1">IF($P13="","",IF($AJ$11="",0,IF(PTab="P7",'Inputs &amp; Summary'!AQ11,'Inputs &amp; Summary'!AA11)))</f>
        <v>#REF!</v>
      </c>
      <c r="AK13" s="37" t="e">
        <f ca="1">IF($P13="","",'Inputs &amp; Summary'!AJ11)</f>
        <v>#REF!</v>
      </c>
    </row>
    <row r="14" spans="2:38" x14ac:dyDescent="0.3">
      <c r="B14" s="23" t="s">
        <v>30</v>
      </c>
      <c r="C14" s="24" t="str">
        <f>IF(RIGHT(Product,2)="NY",'Inputs &amp; Summary'!$C$37,State)</f>
        <v>KS</v>
      </c>
      <c r="D14" s="17"/>
      <c r="E14" s="19"/>
      <c r="F14" s="25" t="str">
        <f>IF($E14="","",INDEX([1]STRTG!$T$14:$AC$303,MATCH($E14,[1]STRTG!$P$14:$P$303,0),MATCH(F$5,[1]STRTG!$T$13:$AC$13,0)))</f>
        <v/>
      </c>
      <c r="G14" s="25" t="str">
        <f>IF($E14="","",INDEX([1]STRTG!$T$14:$AC$303,MATCH($E14,[1]STRTG!$P$14:$P$303,0),MATCH(G$5,[1]STRTG!$T$13:$AC$13,0)))</f>
        <v/>
      </c>
      <c r="H14" s="25" t="str">
        <f>IF($E14="","",INDEX([1]STRTG!$T$14:$AC$303,MATCH($E14,[1]STRTG!$P$14:$P$303,0),MATCH(H$5,[1]STRTG!$T$13:$AC$13,0)))</f>
        <v/>
      </c>
      <c r="I14" s="25" t="str">
        <f>IF($E14="","",INDEX([1]STRTG!$T$14:$AC$303,MATCH($E14,[1]STRTG!$P$14:$P$303,0),MATCH(I$5,[1]STRTG!$T$13:$AC$13,0)))</f>
        <v/>
      </c>
      <c r="J14" s="25" t="str">
        <f>IF($E14="","",INDEX([1]STRTG!$T$14:$AC$303,MATCH($E14,[1]STRTG!$P$14:$P$303,0),MATCH(J$5,[1]STRTG!$T$13:$AC$13,0)))</f>
        <v/>
      </c>
      <c r="K14" s="25" t="str">
        <f>IF($E14="","",IF(RIGHT(VLOOKUP($E14,[1]STRTG!$P$14:$S$303,4,FALSE),6)="EPRST1",Ref!$C$103,IF(RIGHT(VLOOKUP($E14,[1]STRTG!$P$14:$S$303,4,FALSE),6)="EPRST2",Ref!$C$104,"N/A")))</f>
        <v/>
      </c>
      <c r="L14" s="26" t="str">
        <f>IF($E14="","",INDEX([1]STRTG!$T$14:$AC$303,MATCH($E14,[1]STRTG!$P$14:$P$303,0),MATCH(L$5,[1]STRTG!$T$13:$AC$13,0)))</f>
        <v/>
      </c>
      <c r="P14" s="38" t="e">
        <f ca="1">IF('Inputs &amp; Summary'!O12="","",IF('Inputs &amp; Summary'!O12=0,"At Issue",'Inputs &amp; Summary'!P12))</f>
        <v>#REF!</v>
      </c>
      <c r="Q14" s="30" t="e">
        <f ca="1">IF($P14="","",'Inputs &amp; Summary'!O12)</f>
        <v>#REF!</v>
      </c>
      <c r="R14" s="30" t="e">
        <f ca="1">IF($P14="","",'Inputs &amp; Summary'!Q12)</f>
        <v>#REF!</v>
      </c>
      <c r="S14" s="39" t="e" cm="1">
        <f t="array" aca="1" ref="S14" ca="1">IF($P14="","",IF(S$11="",0,IFERROR(INDEX(INDIRECT(S$6&amp;VLOOKUP(Summary,Ref!$Y$13:$AC$18,3,FALSE)),MATCH(IF($P14="At Issue",VLOOKUP(Summary,Ref!$Y$13:$AC$18,2,FALSE),$P14),INDIRECT(S$6&amp;VLOOKUP(Summary,Ref!$Y$13:$AC$18,4,FALSE)),0),VLOOKUP(S$10,Ref!$Y$61:$AA$63,2,FALSE)),0)))</f>
        <v>#REF!</v>
      </c>
      <c r="T14" s="39" t="e" cm="1">
        <f t="array" aca="1" ref="T14" ca="1">IF($P14="","",IF(T$11="",0,IFERROR(INDEX(INDIRECT(T$6&amp;VLOOKUP(Summary,Ref!$Y$13:$AC$18,3,FALSE)),MATCH(IF($P14="At Issue",VLOOKUP(Summary,Ref!$Y$13:$AC$18,2,FALSE),$P14),INDIRECT(T$6&amp;VLOOKUP(Summary,Ref!$Y$13:$AC$18,4,FALSE)),0),VLOOKUP(T$10,Ref!$Y$61:$AA$63,2,FALSE)),0)))</f>
        <v>#REF!</v>
      </c>
      <c r="U14" s="39" t="e" cm="1">
        <f t="array" aca="1" ref="U14" ca="1">IF($P14="","",IF(U$11="",0,IFERROR(INDEX(INDIRECT(U$6&amp;VLOOKUP(Summary,Ref!$Y$13:$AC$18,3,FALSE)),MATCH(IF($P14="At Issue",VLOOKUP(Summary,Ref!$Y$13:$AC$18,2,FALSE),$P14),INDIRECT(U$6&amp;VLOOKUP(Summary,Ref!$Y$13:$AC$18,4,FALSE)),0),VLOOKUP(U$10,Ref!$Y$61:$AA$63,2,FALSE)),0)))</f>
        <v>#REF!</v>
      </c>
      <c r="V14" s="39" t="e" cm="1">
        <f t="array" aca="1" ref="V14" ca="1">IF($P14="","",IF(V$11="",0,IFERROR(INDEX(INDIRECT(V$6&amp;VLOOKUP(Summary,Ref!$Y$13:$AC$18,3,FALSE)),MATCH(IF($P14="At Issue",VLOOKUP(Summary,Ref!$Y$13:$AC$18,2,FALSE),$P14),INDIRECT(V$6&amp;VLOOKUP(Summary,Ref!$Y$13:$AC$18,4,FALSE)),0),VLOOKUP(V$10,Ref!$Y$61:$AA$63,2,FALSE)),0)))</f>
        <v>#REF!</v>
      </c>
      <c r="W14" s="39" t="e" cm="1">
        <f t="array" aca="1" ref="W14" ca="1">IF($P14="","",IF(W$11="",0,IFERROR(INDEX(INDIRECT(W$6&amp;VLOOKUP(Summary,Ref!$Y$13:$AC$18,3,FALSE)),MATCH(IF($P14="At Issue",VLOOKUP(Summary,Ref!$Y$13:$AC$18,2,FALSE),$P14),INDIRECT(W$6&amp;VLOOKUP(Summary,Ref!$Y$13:$AC$18,4,FALSE)),0),VLOOKUP(W$10,Ref!$Y$61:$AA$63,2,FALSE)),0)))</f>
        <v>#REF!</v>
      </c>
      <c r="X14" s="32" t="e">
        <f ca="1">IF($P14="","",'Inputs &amp; Summary'!S12)</f>
        <v>#REF!</v>
      </c>
      <c r="Y14" s="40" t="e">
        <f ca="1">IF($P14="","",'Inputs &amp; Summary'!T12)</f>
        <v>#REF!</v>
      </c>
      <c r="Z14" s="41" t="e">
        <f ca="1">IF($P14="","",IF($Z$11="",0,'Inputs &amp; Summary'!X12))</f>
        <v>#REF!</v>
      </c>
      <c r="AA14" s="36" t="e">
        <f ca="1">IF($P14="","",IF($AA$11="",0,IF(AND(LivBen&lt;&gt;"None",RIGHT(Category,2)&lt;&gt;"NY"),'Inputs &amp; Summary'!AH12,"")))</f>
        <v>#REF!</v>
      </c>
      <c r="AB14" s="36" t="e">
        <f ca="1">IF($P14="","",'Inputs &amp; Summary'!Y12)</f>
        <v>#REF!</v>
      </c>
      <c r="AC14" s="36" t="e">
        <f ca="1">IF($P14="","",IF(RIGHT(Category,2)="NY",'Inputs &amp; Summary'!AH12,SUM('Inputs &amp; Summary'!AB12,'Inputs &amp; Summary'!AE12*('Inputs &amp; Summary'!AD12="Yes"),'Inputs &amp; Summary'!AG12)))</f>
        <v>#REF!</v>
      </c>
      <c r="AD14" s="40" t="e">
        <f ca="1">IF($P14="","",'Inputs &amp; Summary'!AI12)</f>
        <v>#REF!</v>
      </c>
      <c r="AE14" s="36" t="e">
        <f ca="1">IF($P14="","",'Inputs &amp; Summary'!Z12)</f>
        <v>#REF!</v>
      </c>
      <c r="AF14" s="36" t="e">
        <f ca="1">IF($P14="","",'Inputs &amp; Summary'!U12)</f>
        <v>#REF!</v>
      </c>
      <c r="AG14" s="36" t="e">
        <f ca="1">IF($P14="","",'Inputs &amp; Summary'!V12)</f>
        <v>#REF!</v>
      </c>
      <c r="AH14" s="36" t="e">
        <f ca="1">IF($P14="","",'Inputs &amp; Summary'!W12)</f>
        <v>#REF!</v>
      </c>
      <c r="AI14" s="36" t="e">
        <f ca="1">IF($P14="","",IF($AI$11="",0,'Inputs &amp; Summary'!AM12))</f>
        <v>#REF!</v>
      </c>
      <c r="AJ14" s="36" t="e">
        <f ca="1">IF($P14="","",IF($AJ$11="",0,IF(PTab="P7",'Inputs &amp; Summary'!AQ12,'Inputs &amp; Summary'!AA12)))</f>
        <v>#REF!</v>
      </c>
      <c r="AK14" s="37" t="e">
        <f ca="1">IF($P14="","",'Inputs &amp; Summary'!AJ12)</f>
        <v>#REF!</v>
      </c>
    </row>
    <row r="15" spans="2:38" x14ac:dyDescent="0.3">
      <c r="B15" s="23" t="s">
        <v>31</v>
      </c>
      <c r="C15" s="24" t="str">
        <f>'Inputs &amp; Summary'!C39</f>
        <v>Qualified</v>
      </c>
      <c r="D15" s="17"/>
      <c r="E15" s="19"/>
      <c r="F15" s="25" t="str">
        <f>IF($E15="","",INDEX([1]STRTG!$T$14:$AC$303,MATCH($E15,[1]STRTG!$P$14:$P$303,0),MATCH(F$5,[1]STRTG!$T$13:$AC$13,0)))</f>
        <v/>
      </c>
      <c r="G15" s="25" t="str">
        <f>IF($E15="","",INDEX([1]STRTG!$T$14:$AC$303,MATCH($E15,[1]STRTG!$P$14:$P$303,0),MATCH(G$5,[1]STRTG!$T$13:$AC$13,0)))</f>
        <v/>
      </c>
      <c r="H15" s="25" t="str">
        <f>IF($E15="","",INDEX([1]STRTG!$T$14:$AC$303,MATCH($E15,[1]STRTG!$P$14:$P$303,0),MATCH(H$5,[1]STRTG!$T$13:$AC$13,0)))</f>
        <v/>
      </c>
      <c r="I15" s="25" t="str">
        <f>IF($E15="","",INDEX([1]STRTG!$T$14:$AC$303,MATCH($E15,[1]STRTG!$P$14:$P$303,0),MATCH(I$5,[1]STRTG!$T$13:$AC$13,0)))</f>
        <v/>
      </c>
      <c r="J15" s="25" t="str">
        <f>IF($E15="","",INDEX([1]STRTG!$T$14:$AC$303,MATCH($E15,[1]STRTG!$P$14:$P$303,0),MATCH(J$5,[1]STRTG!$T$13:$AC$13,0)))</f>
        <v/>
      </c>
      <c r="K15" s="25" t="str">
        <f>IF($E15="","",IF(RIGHT(VLOOKUP($E15,[1]STRTG!$P$14:$S$303,4,FALSE),6)="EPRST1",Ref!$C$103,IF(RIGHT(VLOOKUP($E15,[1]STRTG!$P$14:$S$303,4,FALSE),6)="EPRST2",Ref!$C$104,"N/A")))</f>
        <v/>
      </c>
      <c r="L15" s="26" t="str">
        <f>IF($E15="","",INDEX([1]STRTG!$T$14:$AC$303,MATCH($E15,[1]STRTG!$P$14:$P$303,0),MATCH(L$5,[1]STRTG!$T$13:$AC$13,0)))</f>
        <v/>
      </c>
      <c r="P15" s="38" t="e">
        <f ca="1">IF('Inputs &amp; Summary'!O13="","",IF('Inputs &amp; Summary'!O13=0,"At Issue",'Inputs &amp; Summary'!P13))</f>
        <v>#REF!</v>
      </c>
      <c r="Q15" s="30" t="e">
        <f ca="1">IF($P15="","",'Inputs &amp; Summary'!O13)</f>
        <v>#REF!</v>
      </c>
      <c r="R15" s="30" t="e">
        <f ca="1">IF($P15="","",'Inputs &amp; Summary'!Q13)</f>
        <v>#REF!</v>
      </c>
      <c r="S15" s="39" t="e" cm="1">
        <f t="array" aca="1" ref="S15" ca="1">IF($P15="","",IF(S$11="",0,IFERROR(INDEX(INDIRECT(S$6&amp;VLOOKUP(Summary,Ref!$Y$13:$AC$18,3,FALSE)),MATCH(IF($P15="At Issue",VLOOKUP(Summary,Ref!$Y$13:$AC$18,2,FALSE),$P15),INDIRECT(S$6&amp;VLOOKUP(Summary,Ref!$Y$13:$AC$18,4,FALSE)),0),VLOOKUP(S$10,Ref!$Y$61:$AA$63,2,FALSE)),0)))</f>
        <v>#REF!</v>
      </c>
      <c r="T15" s="39" t="e" cm="1">
        <f t="array" aca="1" ref="T15" ca="1">IF($P15="","",IF(T$11="",0,IFERROR(INDEX(INDIRECT(T$6&amp;VLOOKUP(Summary,Ref!$Y$13:$AC$18,3,FALSE)),MATCH(IF($P15="At Issue",VLOOKUP(Summary,Ref!$Y$13:$AC$18,2,FALSE),$P15),INDIRECT(T$6&amp;VLOOKUP(Summary,Ref!$Y$13:$AC$18,4,FALSE)),0),VLOOKUP(T$10,Ref!$Y$61:$AA$63,2,FALSE)),0)))</f>
        <v>#REF!</v>
      </c>
      <c r="U15" s="39" t="e" cm="1">
        <f t="array" aca="1" ref="U15" ca="1">IF($P15="","",IF(U$11="",0,IFERROR(INDEX(INDIRECT(U$6&amp;VLOOKUP(Summary,Ref!$Y$13:$AC$18,3,FALSE)),MATCH(IF($P15="At Issue",VLOOKUP(Summary,Ref!$Y$13:$AC$18,2,FALSE),$P15),INDIRECT(U$6&amp;VLOOKUP(Summary,Ref!$Y$13:$AC$18,4,FALSE)),0),VLOOKUP(U$10,Ref!$Y$61:$AA$63,2,FALSE)),0)))</f>
        <v>#REF!</v>
      </c>
      <c r="V15" s="39" t="e" cm="1">
        <f t="array" aca="1" ref="V15" ca="1">IF($P15="","",IF(V$11="",0,IFERROR(INDEX(INDIRECT(V$6&amp;VLOOKUP(Summary,Ref!$Y$13:$AC$18,3,FALSE)),MATCH(IF($P15="At Issue",VLOOKUP(Summary,Ref!$Y$13:$AC$18,2,FALSE),$P15),INDIRECT(V$6&amp;VLOOKUP(Summary,Ref!$Y$13:$AC$18,4,FALSE)),0),VLOOKUP(V$10,Ref!$Y$61:$AA$63,2,FALSE)),0)))</f>
        <v>#REF!</v>
      </c>
      <c r="W15" s="39" t="e" cm="1">
        <f t="array" aca="1" ref="W15" ca="1">IF($P15="","",IF(W$11="",0,IFERROR(INDEX(INDIRECT(W$6&amp;VLOOKUP(Summary,Ref!$Y$13:$AC$18,3,FALSE)),MATCH(IF($P15="At Issue",VLOOKUP(Summary,Ref!$Y$13:$AC$18,2,FALSE),$P15),INDIRECT(W$6&amp;VLOOKUP(Summary,Ref!$Y$13:$AC$18,4,FALSE)),0),VLOOKUP(W$10,Ref!$Y$61:$AA$63,2,FALSE)),0)))</f>
        <v>#REF!</v>
      </c>
      <c r="X15" s="32" t="e">
        <f ca="1">IF($P15="","",'Inputs &amp; Summary'!S13)</f>
        <v>#REF!</v>
      </c>
      <c r="Y15" s="40" t="e">
        <f ca="1">IF($P15="","",'Inputs &amp; Summary'!T13)</f>
        <v>#REF!</v>
      </c>
      <c r="Z15" s="41" t="e">
        <f ca="1">IF($P15="","",IF($Z$11="",0,'Inputs &amp; Summary'!X13))</f>
        <v>#REF!</v>
      </c>
      <c r="AA15" s="36" t="e">
        <f ca="1">IF($P15="","",IF($AA$11="",0,IF(AND(LivBen&lt;&gt;"None",RIGHT(Category,2)&lt;&gt;"NY"),'Inputs &amp; Summary'!AH13,"")))</f>
        <v>#REF!</v>
      </c>
      <c r="AB15" s="36" t="e">
        <f ca="1">IF($P15="","",'Inputs &amp; Summary'!Y13)</f>
        <v>#REF!</v>
      </c>
      <c r="AC15" s="36" t="e">
        <f ca="1">IF($P15="","",IF(RIGHT(Category,2)="NY",'Inputs &amp; Summary'!AH13,SUM('Inputs &amp; Summary'!AB13,'Inputs &amp; Summary'!AE13*('Inputs &amp; Summary'!AD13="Yes"),'Inputs &amp; Summary'!AG13)))</f>
        <v>#REF!</v>
      </c>
      <c r="AD15" s="40" t="e">
        <f ca="1">IF($P15="","",'Inputs &amp; Summary'!AI13)</f>
        <v>#REF!</v>
      </c>
      <c r="AE15" s="36" t="e">
        <f ca="1">IF($P15="","",'Inputs &amp; Summary'!Z13)</f>
        <v>#REF!</v>
      </c>
      <c r="AF15" s="36" t="e">
        <f ca="1">IF($P15="","",'Inputs &amp; Summary'!U13)</f>
        <v>#REF!</v>
      </c>
      <c r="AG15" s="36" t="e">
        <f ca="1">IF($P15="","",'Inputs &amp; Summary'!V13)</f>
        <v>#REF!</v>
      </c>
      <c r="AH15" s="36" t="e">
        <f ca="1">IF($P15="","",'Inputs &amp; Summary'!W13)</f>
        <v>#REF!</v>
      </c>
      <c r="AI15" s="36" t="e">
        <f ca="1">IF($P15="","",IF($AI$11="",0,'Inputs &amp; Summary'!AM13))</f>
        <v>#REF!</v>
      </c>
      <c r="AJ15" s="36" t="e">
        <f ca="1">IF($P15="","",IF($AJ$11="",0,IF(PTab="P7",'Inputs &amp; Summary'!AQ13,'Inputs &amp; Summary'!AA13)))</f>
        <v>#REF!</v>
      </c>
      <c r="AK15" s="37" t="e">
        <f ca="1">IF($P15="","",'Inputs &amp; Summary'!AJ13)</f>
        <v>#REF!</v>
      </c>
    </row>
    <row r="16" spans="2:38" x14ac:dyDescent="0.3">
      <c r="B16" s="23" t="s">
        <v>32</v>
      </c>
      <c r="C16" s="24" t="str">
        <f>Product</f>
        <v>Power Index Plus</v>
      </c>
      <c r="D16" s="17"/>
      <c r="E16" s="19"/>
      <c r="F16" s="25" t="str">
        <f>IF($E16="","",INDEX([1]STRTG!$T$14:$AC$303,MATCH($E16,[1]STRTG!$P$14:$P$303,0),MATCH(F$5,[1]STRTG!$T$13:$AC$13,0)))</f>
        <v/>
      </c>
      <c r="G16" s="25" t="str">
        <f>IF($E16="","",INDEX([1]STRTG!$T$14:$AC$303,MATCH($E16,[1]STRTG!$P$14:$P$303,0),MATCH(G$5,[1]STRTG!$T$13:$AC$13,0)))</f>
        <v/>
      </c>
      <c r="H16" s="25" t="str">
        <f>IF($E16="","",INDEX([1]STRTG!$T$14:$AC$303,MATCH($E16,[1]STRTG!$P$14:$P$303,0),MATCH(H$5,[1]STRTG!$T$13:$AC$13,0)))</f>
        <v/>
      </c>
      <c r="I16" s="25" t="str">
        <f>IF($E16="","",INDEX([1]STRTG!$T$14:$AC$303,MATCH($E16,[1]STRTG!$P$14:$P$303,0),MATCH(I$5,[1]STRTG!$T$13:$AC$13,0)))</f>
        <v/>
      </c>
      <c r="J16" s="25" t="str">
        <f>IF($E16="","",INDEX([1]STRTG!$T$14:$AC$303,MATCH($E16,[1]STRTG!$P$14:$P$303,0),MATCH(J$5,[1]STRTG!$T$13:$AC$13,0)))</f>
        <v/>
      </c>
      <c r="K16" s="25" t="str">
        <f>IF($E16="","",IF(RIGHT(VLOOKUP($E16,[1]STRTG!$P$14:$S$303,4,FALSE),6)="EPRST1",Ref!$C$103,IF(RIGHT(VLOOKUP($E16,[1]STRTG!$P$14:$S$303,4,FALSE),6)="EPRST2",Ref!$C$104,"N/A")))</f>
        <v/>
      </c>
      <c r="L16" s="26" t="str">
        <f>IF($E16="","",INDEX([1]STRTG!$T$14:$AC$303,MATCH($E16,[1]STRTG!$P$14:$P$303,0),MATCH(L$5,[1]STRTG!$T$13:$AC$13,0)))</f>
        <v/>
      </c>
      <c r="P16" s="38" t="e">
        <f ca="1">IF('Inputs &amp; Summary'!O14="","",IF('Inputs &amp; Summary'!O14=0,"At Issue",'Inputs &amp; Summary'!P14))</f>
        <v>#REF!</v>
      </c>
      <c r="Q16" s="30" t="e">
        <f ca="1">IF($P16="","",'Inputs &amp; Summary'!O14)</f>
        <v>#REF!</v>
      </c>
      <c r="R16" s="30" t="e">
        <f ca="1">IF($P16="","",'Inputs &amp; Summary'!Q14)</f>
        <v>#REF!</v>
      </c>
      <c r="S16" s="39" t="e" cm="1">
        <f t="array" aca="1" ref="S16" ca="1">IF($P16="","",IF(S$11="",0,IFERROR(INDEX(INDIRECT(S$6&amp;VLOOKUP(Summary,Ref!$Y$13:$AC$18,3,FALSE)),MATCH(IF($P16="At Issue",VLOOKUP(Summary,Ref!$Y$13:$AC$18,2,FALSE),$P16),INDIRECT(S$6&amp;VLOOKUP(Summary,Ref!$Y$13:$AC$18,4,FALSE)),0),VLOOKUP(S$10,Ref!$Y$61:$AA$63,2,FALSE)),0)))</f>
        <v>#REF!</v>
      </c>
      <c r="T16" s="39" t="e" cm="1">
        <f t="array" aca="1" ref="T16" ca="1">IF($P16="","",IF(T$11="",0,IFERROR(INDEX(INDIRECT(T$6&amp;VLOOKUP(Summary,Ref!$Y$13:$AC$18,3,FALSE)),MATCH(IF($P16="At Issue",VLOOKUP(Summary,Ref!$Y$13:$AC$18,2,FALSE),$P16),INDIRECT(T$6&amp;VLOOKUP(Summary,Ref!$Y$13:$AC$18,4,FALSE)),0),VLOOKUP(T$10,Ref!$Y$61:$AA$63,2,FALSE)),0)))</f>
        <v>#REF!</v>
      </c>
      <c r="U16" s="39" t="e" cm="1">
        <f t="array" aca="1" ref="U16" ca="1">IF($P16="","",IF(U$11="",0,IFERROR(INDEX(INDIRECT(U$6&amp;VLOOKUP(Summary,Ref!$Y$13:$AC$18,3,FALSE)),MATCH(IF($P16="At Issue",VLOOKUP(Summary,Ref!$Y$13:$AC$18,2,FALSE),$P16),INDIRECT(U$6&amp;VLOOKUP(Summary,Ref!$Y$13:$AC$18,4,FALSE)),0),VLOOKUP(U$10,Ref!$Y$61:$AA$63,2,FALSE)),0)))</f>
        <v>#REF!</v>
      </c>
      <c r="V16" s="39" t="e" cm="1">
        <f t="array" aca="1" ref="V16" ca="1">IF($P16="","",IF(V$11="",0,IFERROR(INDEX(INDIRECT(V$6&amp;VLOOKUP(Summary,Ref!$Y$13:$AC$18,3,FALSE)),MATCH(IF($P16="At Issue",VLOOKUP(Summary,Ref!$Y$13:$AC$18,2,FALSE),$P16),INDIRECT(V$6&amp;VLOOKUP(Summary,Ref!$Y$13:$AC$18,4,FALSE)),0),VLOOKUP(V$10,Ref!$Y$61:$AA$63,2,FALSE)),0)))</f>
        <v>#REF!</v>
      </c>
      <c r="W16" s="39" t="e" cm="1">
        <f t="array" aca="1" ref="W16" ca="1">IF($P16="","",IF(W$11="",0,IFERROR(INDEX(INDIRECT(W$6&amp;VLOOKUP(Summary,Ref!$Y$13:$AC$18,3,FALSE)),MATCH(IF($P16="At Issue",VLOOKUP(Summary,Ref!$Y$13:$AC$18,2,FALSE),$P16),INDIRECT(W$6&amp;VLOOKUP(Summary,Ref!$Y$13:$AC$18,4,FALSE)),0),VLOOKUP(W$10,Ref!$Y$61:$AA$63,2,FALSE)),0)))</f>
        <v>#REF!</v>
      </c>
      <c r="X16" s="32" t="e">
        <f ca="1">IF($P16="","",'Inputs &amp; Summary'!S14)</f>
        <v>#REF!</v>
      </c>
      <c r="Y16" s="40" t="e">
        <f ca="1">IF($P16="","",'Inputs &amp; Summary'!T14)</f>
        <v>#REF!</v>
      </c>
      <c r="Z16" s="41" t="e">
        <f ca="1">IF($P16="","",IF($Z$11="",0,'Inputs &amp; Summary'!X14))</f>
        <v>#REF!</v>
      </c>
      <c r="AA16" s="36" t="e">
        <f ca="1">IF($P16="","",IF($AA$11="",0,IF(AND(LivBen&lt;&gt;"None",RIGHT(Category,2)&lt;&gt;"NY"),'Inputs &amp; Summary'!AH14,"")))</f>
        <v>#REF!</v>
      </c>
      <c r="AB16" s="36" t="e">
        <f ca="1">IF($P16="","",'Inputs &amp; Summary'!Y14)</f>
        <v>#REF!</v>
      </c>
      <c r="AC16" s="36" t="e">
        <f ca="1">IF($P16="","",IF(RIGHT(Category,2)="NY",'Inputs &amp; Summary'!AH14,SUM('Inputs &amp; Summary'!AB14,'Inputs &amp; Summary'!AE14*('Inputs &amp; Summary'!AD14="Yes"),'Inputs &amp; Summary'!AG14)))</f>
        <v>#REF!</v>
      </c>
      <c r="AD16" s="40" t="e">
        <f ca="1">IF($P16="","",'Inputs &amp; Summary'!AI14)</f>
        <v>#REF!</v>
      </c>
      <c r="AE16" s="36" t="e">
        <f ca="1">IF($P16="","",'Inputs &amp; Summary'!Z14)</f>
        <v>#REF!</v>
      </c>
      <c r="AF16" s="36" t="e">
        <f ca="1">IF($P16="","",'Inputs &amp; Summary'!U14)</f>
        <v>#REF!</v>
      </c>
      <c r="AG16" s="36" t="e">
        <f ca="1">IF($P16="","",'Inputs &amp; Summary'!V14)</f>
        <v>#REF!</v>
      </c>
      <c r="AH16" s="36" t="e">
        <f ca="1">IF($P16="","",'Inputs &amp; Summary'!W14)</f>
        <v>#REF!</v>
      </c>
      <c r="AI16" s="36" t="e">
        <f ca="1">IF($P16="","",IF($AI$11="",0,'Inputs &amp; Summary'!AM14))</f>
        <v>#REF!</v>
      </c>
      <c r="AJ16" s="36" t="e">
        <f ca="1">IF($P16="","",IF($AJ$11="",0,IF(PTab="P7",'Inputs &amp; Summary'!AQ14,'Inputs &amp; Summary'!AA14)))</f>
        <v>#REF!</v>
      </c>
      <c r="AK16" s="37" t="e">
        <f ca="1">IF($P16="","",'Inputs &amp; Summary'!AJ14)</f>
        <v>#REF!</v>
      </c>
    </row>
    <row r="17" spans="2:37" x14ac:dyDescent="0.3">
      <c r="B17" s="23" t="s">
        <v>33</v>
      </c>
      <c r="C17" s="42">
        <f>InPrem</f>
        <v>10000</v>
      </c>
      <c r="D17" s="43"/>
      <c r="E17" s="19"/>
      <c r="F17" s="25" t="str">
        <f>IF($E17="","",INDEX([1]STRTG!$T$14:$AC$303,MATCH($E17,[1]STRTG!$P$14:$P$303,0),MATCH(F$5,[1]STRTG!$T$13:$AC$13,0)))</f>
        <v/>
      </c>
      <c r="G17" s="25" t="str">
        <f>IF($E17="","",INDEX([1]STRTG!$T$14:$AC$303,MATCH($E17,[1]STRTG!$P$14:$P$303,0),MATCH(G$5,[1]STRTG!$T$13:$AC$13,0)))</f>
        <v/>
      </c>
      <c r="H17" s="25" t="str">
        <f>IF($E17="","",INDEX([1]STRTG!$T$14:$AC$303,MATCH($E17,[1]STRTG!$P$14:$P$303,0),MATCH(H$5,[1]STRTG!$T$13:$AC$13,0)))</f>
        <v/>
      </c>
      <c r="I17" s="25" t="str">
        <f>IF($E17="","",INDEX([1]STRTG!$T$14:$AC$303,MATCH($E17,[1]STRTG!$P$14:$P$303,0),MATCH(I$5,[1]STRTG!$T$13:$AC$13,0)))</f>
        <v/>
      </c>
      <c r="J17" s="25" t="str">
        <f>IF($E17="","",INDEX([1]STRTG!$T$14:$AC$303,MATCH($E17,[1]STRTG!$P$14:$P$303,0),MATCH(J$5,[1]STRTG!$T$13:$AC$13,0)))</f>
        <v/>
      </c>
      <c r="K17" s="25" t="str">
        <f>IF($E17="","",IF(RIGHT(VLOOKUP($E17,[1]STRTG!$P$14:$S$303,4,FALSE),6)="EPRST1",Ref!$C$103,IF(RIGHT(VLOOKUP($E17,[1]STRTG!$P$14:$S$303,4,FALSE),6)="EPRST2",Ref!$C$104,"N/A")))</f>
        <v/>
      </c>
      <c r="L17" s="26" t="str">
        <f>IF($E17="","",INDEX([1]STRTG!$T$14:$AC$303,MATCH($E17,[1]STRTG!$P$14:$P$303,0),MATCH(L$5,[1]STRTG!$T$13:$AC$13,0)))</f>
        <v/>
      </c>
      <c r="P17" s="38" t="e">
        <f ca="1">IF('Inputs &amp; Summary'!O15="","",IF('Inputs &amp; Summary'!O15=0,"At Issue",'Inputs &amp; Summary'!P15))</f>
        <v>#REF!</v>
      </c>
      <c r="Q17" s="30" t="e">
        <f ca="1">IF($P17="","",'Inputs &amp; Summary'!O15)</f>
        <v>#REF!</v>
      </c>
      <c r="R17" s="30" t="e">
        <f ca="1">IF($P17="","",'Inputs &amp; Summary'!Q15)</f>
        <v>#REF!</v>
      </c>
      <c r="S17" s="39" t="e" cm="1">
        <f t="array" aca="1" ref="S17" ca="1">IF($P17="","",IF(S$11="",0,IFERROR(INDEX(INDIRECT(S$6&amp;VLOOKUP(Summary,Ref!$Y$13:$AC$18,3,FALSE)),MATCH(IF($P17="At Issue",VLOOKUP(Summary,Ref!$Y$13:$AC$18,2,FALSE),$P17),INDIRECT(S$6&amp;VLOOKUP(Summary,Ref!$Y$13:$AC$18,4,FALSE)),0),VLOOKUP(S$10,Ref!$Y$61:$AA$63,2,FALSE)),0)))</f>
        <v>#REF!</v>
      </c>
      <c r="T17" s="39" t="e" cm="1">
        <f t="array" aca="1" ref="T17" ca="1">IF($P17="","",IF(T$11="",0,IFERROR(INDEX(INDIRECT(T$6&amp;VLOOKUP(Summary,Ref!$Y$13:$AC$18,3,FALSE)),MATCH(IF($P17="At Issue",VLOOKUP(Summary,Ref!$Y$13:$AC$18,2,FALSE),$P17),INDIRECT(T$6&amp;VLOOKUP(Summary,Ref!$Y$13:$AC$18,4,FALSE)),0),VLOOKUP(T$10,Ref!$Y$61:$AA$63,2,FALSE)),0)))</f>
        <v>#REF!</v>
      </c>
      <c r="U17" s="39" t="e" cm="1">
        <f t="array" aca="1" ref="U17" ca="1">IF($P17="","",IF(U$11="",0,IFERROR(INDEX(INDIRECT(U$6&amp;VLOOKUP(Summary,Ref!$Y$13:$AC$18,3,FALSE)),MATCH(IF($P17="At Issue",VLOOKUP(Summary,Ref!$Y$13:$AC$18,2,FALSE),$P17),INDIRECT(U$6&amp;VLOOKUP(Summary,Ref!$Y$13:$AC$18,4,FALSE)),0),VLOOKUP(U$10,Ref!$Y$61:$AA$63,2,FALSE)),0)))</f>
        <v>#REF!</v>
      </c>
      <c r="V17" s="39" t="e" cm="1">
        <f t="array" aca="1" ref="V17" ca="1">IF($P17="","",IF(V$11="",0,IFERROR(INDEX(INDIRECT(V$6&amp;VLOOKUP(Summary,Ref!$Y$13:$AC$18,3,FALSE)),MATCH(IF($P17="At Issue",VLOOKUP(Summary,Ref!$Y$13:$AC$18,2,FALSE),$P17),INDIRECT(V$6&amp;VLOOKUP(Summary,Ref!$Y$13:$AC$18,4,FALSE)),0),VLOOKUP(V$10,Ref!$Y$61:$AA$63,2,FALSE)),0)))</f>
        <v>#REF!</v>
      </c>
      <c r="W17" s="39" t="e" cm="1">
        <f t="array" aca="1" ref="W17" ca="1">IF($P17="","",IF(W$11="",0,IFERROR(INDEX(INDIRECT(W$6&amp;VLOOKUP(Summary,Ref!$Y$13:$AC$18,3,FALSE)),MATCH(IF($P17="At Issue",VLOOKUP(Summary,Ref!$Y$13:$AC$18,2,FALSE),$P17),INDIRECT(W$6&amp;VLOOKUP(Summary,Ref!$Y$13:$AC$18,4,FALSE)),0),VLOOKUP(W$10,Ref!$Y$61:$AA$63,2,FALSE)),0)))</f>
        <v>#REF!</v>
      </c>
      <c r="X17" s="32" t="e">
        <f ca="1">IF($P17="","",'Inputs &amp; Summary'!S15)</f>
        <v>#REF!</v>
      </c>
      <c r="Y17" s="40" t="e">
        <f ca="1">IF($P17="","",'Inputs &amp; Summary'!T15)</f>
        <v>#REF!</v>
      </c>
      <c r="Z17" s="41" t="e">
        <f ca="1">IF($P17="","",IF($Z$11="",0,'Inputs &amp; Summary'!X15))</f>
        <v>#REF!</v>
      </c>
      <c r="AA17" s="36" t="e">
        <f ca="1">IF($P17="","",IF($AA$11="",0,IF(AND(LivBen&lt;&gt;"None",RIGHT(Category,2)&lt;&gt;"NY"),'Inputs &amp; Summary'!AH15,"")))</f>
        <v>#REF!</v>
      </c>
      <c r="AB17" s="36" t="e">
        <f ca="1">IF($P17="","",'Inputs &amp; Summary'!Y15)</f>
        <v>#REF!</v>
      </c>
      <c r="AC17" s="36" t="e">
        <f ca="1">IF($P17="","",IF(RIGHT(Category,2)="NY",'Inputs &amp; Summary'!AH15,SUM('Inputs &amp; Summary'!AB15,'Inputs &amp; Summary'!AE15*('Inputs &amp; Summary'!AD15="Yes"),'Inputs &amp; Summary'!AG15)))</f>
        <v>#REF!</v>
      </c>
      <c r="AD17" s="40" t="e">
        <f ca="1">IF($P17="","",'Inputs &amp; Summary'!AI15)</f>
        <v>#REF!</v>
      </c>
      <c r="AE17" s="36" t="e">
        <f ca="1">IF($P17="","",'Inputs &amp; Summary'!Z15)</f>
        <v>#REF!</v>
      </c>
      <c r="AF17" s="36" t="e">
        <f ca="1">IF($P17="","",'Inputs &amp; Summary'!U15)</f>
        <v>#REF!</v>
      </c>
      <c r="AG17" s="36" t="e">
        <f ca="1">IF($P17="","",'Inputs &amp; Summary'!V15)</f>
        <v>#REF!</v>
      </c>
      <c r="AH17" s="36" t="e">
        <f ca="1">IF($P17="","",'Inputs &amp; Summary'!W15)</f>
        <v>#REF!</v>
      </c>
      <c r="AI17" s="36" t="e">
        <f ca="1">IF($P17="","",IF($AI$11="",0,'Inputs &amp; Summary'!AM15))</f>
        <v>#REF!</v>
      </c>
      <c r="AJ17" s="36" t="e">
        <f ca="1">IF($P17="","",IF($AJ$11="",0,IF(PTab="P7",'Inputs &amp; Summary'!AQ15,'Inputs &amp; Summary'!AA15)))</f>
        <v>#REF!</v>
      </c>
      <c r="AK17" s="37" t="e">
        <f ca="1">IF($P17="","",'Inputs &amp; Summary'!AJ15)</f>
        <v>#REF!</v>
      </c>
    </row>
    <row r="18" spans="2:37" x14ac:dyDescent="0.3">
      <c r="B18" s="23" t="s">
        <v>34</v>
      </c>
      <c r="C18" s="24" t="str">
        <f>IF(PTab="P7","Return of Premium","Contract Value")</f>
        <v>Contract Value</v>
      </c>
      <c r="D18" s="17"/>
      <c r="E18" s="19"/>
      <c r="F18" s="25" t="str">
        <f>IF($E18="","",INDEX([1]STRTG!$T$14:$AC$303,MATCH($E18,[1]STRTG!$P$14:$P$303,0),MATCH(F$5,[1]STRTG!$T$13:$AC$13,0)))</f>
        <v/>
      </c>
      <c r="G18" s="25" t="str">
        <f>IF($E18="","",INDEX([1]STRTG!$T$14:$AC$303,MATCH($E18,[1]STRTG!$P$14:$P$303,0),MATCH(G$5,[1]STRTG!$T$13:$AC$13,0)))</f>
        <v/>
      </c>
      <c r="H18" s="25" t="str">
        <f>IF($E18="","",INDEX([1]STRTG!$T$14:$AC$303,MATCH($E18,[1]STRTG!$P$14:$P$303,0),MATCH(H$5,[1]STRTG!$T$13:$AC$13,0)))</f>
        <v/>
      </c>
      <c r="I18" s="25" t="str">
        <f>IF($E18="","",INDEX([1]STRTG!$T$14:$AC$303,MATCH($E18,[1]STRTG!$P$14:$P$303,0),MATCH(I$5,[1]STRTG!$T$13:$AC$13,0)))</f>
        <v/>
      </c>
      <c r="J18" s="25" t="str">
        <f>IF($E18="","",INDEX([1]STRTG!$T$14:$AC$303,MATCH($E18,[1]STRTG!$P$14:$P$303,0),MATCH(J$5,[1]STRTG!$T$13:$AC$13,0)))</f>
        <v/>
      </c>
      <c r="K18" s="25" t="str">
        <f>IF($E18="","",IF(RIGHT(VLOOKUP($E18,[1]STRTG!$P$14:$S$303,4,FALSE),6)="EPRST1",Ref!$C$103,IF(RIGHT(VLOOKUP($E18,[1]STRTG!$P$14:$S$303,4,FALSE),6)="EPRST2",Ref!$C$104,"N/A")))</f>
        <v/>
      </c>
      <c r="L18" s="26" t="str">
        <f>IF($E18="","",INDEX([1]STRTG!$T$14:$AC$303,MATCH($E18,[1]STRTG!$P$14:$P$303,0),MATCH(L$5,[1]STRTG!$T$13:$AC$13,0)))</f>
        <v/>
      </c>
      <c r="P18" s="38" t="e">
        <f ca="1">IF('Inputs &amp; Summary'!O16="","",IF('Inputs &amp; Summary'!O16=0,"At Issue",'Inputs &amp; Summary'!P16))</f>
        <v>#REF!</v>
      </c>
      <c r="Q18" s="30" t="e">
        <f ca="1">IF($P18="","",'Inputs &amp; Summary'!O16)</f>
        <v>#REF!</v>
      </c>
      <c r="R18" s="30" t="e">
        <f ca="1">IF($P18="","",'Inputs &amp; Summary'!Q16)</f>
        <v>#REF!</v>
      </c>
      <c r="S18" s="39" t="e" cm="1">
        <f t="array" aca="1" ref="S18" ca="1">IF($P18="","",IF(S$11="",0,IFERROR(INDEX(INDIRECT(S$6&amp;VLOOKUP(Summary,Ref!$Y$13:$AC$18,3,FALSE)),MATCH(IF($P18="At Issue",VLOOKUP(Summary,Ref!$Y$13:$AC$18,2,FALSE),$P18),INDIRECT(S$6&amp;VLOOKUP(Summary,Ref!$Y$13:$AC$18,4,FALSE)),0),VLOOKUP(S$10,Ref!$Y$61:$AA$63,2,FALSE)),0)))</f>
        <v>#REF!</v>
      </c>
      <c r="T18" s="39" t="e" cm="1">
        <f t="array" aca="1" ref="T18" ca="1">IF($P18="","",IF(T$11="",0,IFERROR(INDEX(INDIRECT(T$6&amp;VLOOKUP(Summary,Ref!$Y$13:$AC$18,3,FALSE)),MATCH(IF($P18="At Issue",VLOOKUP(Summary,Ref!$Y$13:$AC$18,2,FALSE),$P18),INDIRECT(T$6&amp;VLOOKUP(Summary,Ref!$Y$13:$AC$18,4,FALSE)),0),VLOOKUP(T$10,Ref!$Y$61:$AA$63,2,FALSE)),0)))</f>
        <v>#REF!</v>
      </c>
      <c r="U18" s="39" t="e" cm="1">
        <f t="array" aca="1" ref="U18" ca="1">IF($P18="","",IF(U$11="",0,IFERROR(INDEX(INDIRECT(U$6&amp;VLOOKUP(Summary,Ref!$Y$13:$AC$18,3,FALSE)),MATCH(IF($P18="At Issue",VLOOKUP(Summary,Ref!$Y$13:$AC$18,2,FALSE),$P18),INDIRECT(U$6&amp;VLOOKUP(Summary,Ref!$Y$13:$AC$18,4,FALSE)),0),VLOOKUP(U$10,Ref!$Y$61:$AA$63,2,FALSE)),0)))</f>
        <v>#REF!</v>
      </c>
      <c r="V18" s="39" t="e" cm="1">
        <f t="array" aca="1" ref="V18" ca="1">IF($P18="","",IF(V$11="",0,IFERROR(INDEX(INDIRECT(V$6&amp;VLOOKUP(Summary,Ref!$Y$13:$AC$18,3,FALSE)),MATCH(IF($P18="At Issue",VLOOKUP(Summary,Ref!$Y$13:$AC$18,2,FALSE),$P18),INDIRECT(V$6&amp;VLOOKUP(Summary,Ref!$Y$13:$AC$18,4,FALSE)),0),VLOOKUP(V$10,Ref!$Y$61:$AA$63,2,FALSE)),0)))</f>
        <v>#REF!</v>
      </c>
      <c r="W18" s="39" t="e" cm="1">
        <f t="array" aca="1" ref="W18" ca="1">IF($P18="","",IF(W$11="",0,IFERROR(INDEX(INDIRECT(W$6&amp;VLOOKUP(Summary,Ref!$Y$13:$AC$18,3,FALSE)),MATCH(IF($P18="At Issue",VLOOKUP(Summary,Ref!$Y$13:$AC$18,2,FALSE),$P18),INDIRECT(W$6&amp;VLOOKUP(Summary,Ref!$Y$13:$AC$18,4,FALSE)),0),VLOOKUP(W$10,Ref!$Y$61:$AA$63,2,FALSE)),0)))</f>
        <v>#REF!</v>
      </c>
      <c r="X18" s="32" t="e">
        <f ca="1">IF($P18="","",'Inputs &amp; Summary'!S16)</f>
        <v>#REF!</v>
      </c>
      <c r="Y18" s="40" t="e">
        <f ca="1">IF($P18="","",'Inputs &amp; Summary'!T16)</f>
        <v>#REF!</v>
      </c>
      <c r="Z18" s="41" t="e">
        <f ca="1">IF($P18="","",IF($Z$11="",0,'Inputs &amp; Summary'!X16))</f>
        <v>#REF!</v>
      </c>
      <c r="AA18" s="36" t="e">
        <f ca="1">IF($P18="","",IF($AA$11="",0,IF(AND(LivBen&lt;&gt;"None",RIGHT(Category,2)&lt;&gt;"NY"),'Inputs &amp; Summary'!AH16,"")))</f>
        <v>#REF!</v>
      </c>
      <c r="AB18" s="36" t="e">
        <f ca="1">IF($P18="","",'Inputs &amp; Summary'!Y16)</f>
        <v>#REF!</v>
      </c>
      <c r="AC18" s="36" t="e">
        <f ca="1">IF($P18="","",IF(RIGHT(Category,2)="NY",'Inputs &amp; Summary'!AH16,SUM('Inputs &amp; Summary'!AB16,'Inputs &amp; Summary'!AE16*('Inputs &amp; Summary'!AD16="Yes"),'Inputs &amp; Summary'!AG16)))</f>
        <v>#REF!</v>
      </c>
      <c r="AD18" s="40" t="e">
        <f ca="1">IF($P18="","",'Inputs &amp; Summary'!AI16)</f>
        <v>#REF!</v>
      </c>
      <c r="AE18" s="36" t="e">
        <f ca="1">IF($P18="","",'Inputs &amp; Summary'!Z16)</f>
        <v>#REF!</v>
      </c>
      <c r="AF18" s="36" t="e">
        <f ca="1">IF($P18="","",'Inputs &amp; Summary'!U16)</f>
        <v>#REF!</v>
      </c>
      <c r="AG18" s="36" t="e">
        <f ca="1">IF($P18="","",'Inputs &amp; Summary'!V16)</f>
        <v>#REF!</v>
      </c>
      <c r="AH18" s="36" t="e">
        <f ca="1">IF($P18="","",'Inputs &amp; Summary'!W16)</f>
        <v>#REF!</v>
      </c>
      <c r="AI18" s="36" t="e">
        <f ca="1">IF($P18="","",IF($AI$11="",0,'Inputs &amp; Summary'!AM16))</f>
        <v>#REF!</v>
      </c>
      <c r="AJ18" s="36" t="e">
        <f ca="1">IF($P18="","",IF($AJ$11="",0,IF(PTab="P7",'Inputs &amp; Summary'!AQ16,'Inputs &amp; Summary'!AA16)))</f>
        <v>#REF!</v>
      </c>
      <c r="AK18" s="37" t="e">
        <f ca="1">IF($P18="","",'Inputs &amp; Summary'!AJ16)</f>
        <v>#REF!</v>
      </c>
    </row>
    <row r="19" spans="2:37" x14ac:dyDescent="0.3">
      <c r="B19" s="23" t="str">
        <f>IF(PTab="P7","AICO Product Fee",IF(Ref!$S$53="Y","GMAB Rate",""))</f>
        <v>GMAB Rate</v>
      </c>
      <c r="C19" s="44">
        <f>IF(PTab="P7",AICOPrFee,IF(Ref!$S$53="Y",GMABR,""))</f>
        <v>0.05</v>
      </c>
      <c r="D19" s="45"/>
      <c r="E19" s="19"/>
      <c r="F19" s="25" t="str">
        <f>IF($E19="","",INDEX([1]STRTG!$T$14:$AC$303,MATCH($E19,[1]STRTG!$P$14:$P$303,0),MATCH(F$5,[1]STRTG!$T$13:$AC$13,0)))</f>
        <v/>
      </c>
      <c r="G19" s="25" t="str">
        <f>IF($E19="","",INDEX([1]STRTG!$T$14:$AC$303,MATCH($E19,[1]STRTG!$P$14:$P$303,0),MATCH(G$5,[1]STRTG!$T$13:$AC$13,0)))</f>
        <v/>
      </c>
      <c r="H19" s="25" t="str">
        <f>IF($E19="","",INDEX([1]STRTG!$T$14:$AC$303,MATCH($E19,[1]STRTG!$P$14:$P$303,0),MATCH(H$5,[1]STRTG!$T$13:$AC$13,0)))</f>
        <v/>
      </c>
      <c r="I19" s="25" t="str">
        <f>IF($E19="","",INDEX([1]STRTG!$T$14:$AC$303,MATCH($E19,[1]STRTG!$P$14:$P$303,0),MATCH(I$5,[1]STRTG!$T$13:$AC$13,0)))</f>
        <v/>
      </c>
      <c r="J19" s="25" t="str">
        <f>IF($E19="","",INDEX([1]STRTG!$T$14:$AC$303,MATCH($E19,[1]STRTG!$P$14:$P$303,0),MATCH(J$5,[1]STRTG!$T$13:$AC$13,0)))</f>
        <v/>
      </c>
      <c r="K19" s="25" t="str">
        <f>IF($E19="","",IF(RIGHT(VLOOKUP($E19,[1]STRTG!$P$14:$S$303,4,FALSE),6)="EPRST1",Ref!$C$103,IF(RIGHT(VLOOKUP($E19,[1]STRTG!$P$14:$S$303,4,FALSE),6)="EPRST2",Ref!$C$104,"N/A")))</f>
        <v/>
      </c>
      <c r="L19" s="26" t="str">
        <f>IF($E19="","",INDEX([1]STRTG!$T$14:$AC$303,MATCH($E19,[1]STRTG!$P$14:$P$303,0),MATCH(L$5,[1]STRTG!$T$13:$AC$13,0)))</f>
        <v/>
      </c>
      <c r="P19" s="38" t="e">
        <f ca="1">IF('Inputs &amp; Summary'!O17="","",IF('Inputs &amp; Summary'!O17=0,"At Issue",'Inputs &amp; Summary'!P17))</f>
        <v>#REF!</v>
      </c>
      <c r="Q19" s="30" t="e">
        <f ca="1">IF($P19="","",'Inputs &amp; Summary'!O17)</f>
        <v>#REF!</v>
      </c>
      <c r="R19" s="30" t="e">
        <f ca="1">IF($P19="","",'Inputs &amp; Summary'!Q17)</f>
        <v>#REF!</v>
      </c>
      <c r="S19" s="39" t="e" cm="1">
        <f t="array" aca="1" ref="S19" ca="1">IF($P19="","",IF(S$11="",0,IFERROR(INDEX(INDIRECT(S$6&amp;VLOOKUP(Summary,Ref!$Y$13:$AC$18,3,FALSE)),MATCH(IF($P19="At Issue",VLOOKUP(Summary,Ref!$Y$13:$AC$18,2,FALSE),$P19),INDIRECT(S$6&amp;VLOOKUP(Summary,Ref!$Y$13:$AC$18,4,FALSE)),0),VLOOKUP(S$10,Ref!$Y$61:$AA$63,2,FALSE)),0)))</f>
        <v>#REF!</v>
      </c>
      <c r="T19" s="39" t="e" cm="1">
        <f t="array" aca="1" ref="T19" ca="1">IF($P19="","",IF(T$11="",0,IFERROR(INDEX(INDIRECT(T$6&amp;VLOOKUP(Summary,Ref!$Y$13:$AC$18,3,FALSE)),MATCH(IF($P19="At Issue",VLOOKUP(Summary,Ref!$Y$13:$AC$18,2,FALSE),$P19),INDIRECT(T$6&amp;VLOOKUP(Summary,Ref!$Y$13:$AC$18,4,FALSE)),0),VLOOKUP(T$10,Ref!$Y$61:$AA$63,2,FALSE)),0)))</f>
        <v>#REF!</v>
      </c>
      <c r="U19" s="39" t="e" cm="1">
        <f t="array" aca="1" ref="U19" ca="1">IF($P19="","",IF(U$11="",0,IFERROR(INDEX(INDIRECT(U$6&amp;VLOOKUP(Summary,Ref!$Y$13:$AC$18,3,FALSE)),MATCH(IF($P19="At Issue",VLOOKUP(Summary,Ref!$Y$13:$AC$18,2,FALSE),$P19),INDIRECT(U$6&amp;VLOOKUP(Summary,Ref!$Y$13:$AC$18,4,FALSE)),0),VLOOKUP(U$10,Ref!$Y$61:$AA$63,2,FALSE)),0)))</f>
        <v>#REF!</v>
      </c>
      <c r="V19" s="39" t="e" cm="1">
        <f t="array" aca="1" ref="V19" ca="1">IF($P19="","",IF(V$11="",0,IFERROR(INDEX(INDIRECT(V$6&amp;VLOOKUP(Summary,Ref!$Y$13:$AC$18,3,FALSE)),MATCH(IF($P19="At Issue",VLOOKUP(Summary,Ref!$Y$13:$AC$18,2,FALSE),$P19),INDIRECT(V$6&amp;VLOOKUP(Summary,Ref!$Y$13:$AC$18,4,FALSE)),0),VLOOKUP(V$10,Ref!$Y$61:$AA$63,2,FALSE)),0)))</f>
        <v>#REF!</v>
      </c>
      <c r="W19" s="39" t="e" cm="1">
        <f t="array" aca="1" ref="W19" ca="1">IF($P19="","",IF(W$11="",0,IFERROR(INDEX(INDIRECT(W$6&amp;VLOOKUP(Summary,Ref!$Y$13:$AC$18,3,FALSE)),MATCH(IF($P19="At Issue",VLOOKUP(Summary,Ref!$Y$13:$AC$18,2,FALSE),$P19),INDIRECT(W$6&amp;VLOOKUP(Summary,Ref!$Y$13:$AC$18,4,FALSE)),0),VLOOKUP(W$10,Ref!$Y$61:$AA$63,2,FALSE)),0)))</f>
        <v>#REF!</v>
      </c>
      <c r="X19" s="32" t="e">
        <f ca="1">IF($P19="","",'Inputs &amp; Summary'!S17)</f>
        <v>#REF!</v>
      </c>
      <c r="Y19" s="40" t="e">
        <f ca="1">IF($P19="","",'Inputs &amp; Summary'!T17)</f>
        <v>#REF!</v>
      </c>
      <c r="Z19" s="41" t="e">
        <f ca="1">IF($P19="","",IF($Z$11="",0,'Inputs &amp; Summary'!X17))</f>
        <v>#REF!</v>
      </c>
      <c r="AA19" s="36" t="e">
        <f ca="1">IF($P19="","",IF($AA$11="",0,IF(AND(LivBen&lt;&gt;"None",RIGHT(Category,2)&lt;&gt;"NY"),'Inputs &amp; Summary'!AH17,"")))</f>
        <v>#REF!</v>
      </c>
      <c r="AB19" s="36" t="e">
        <f ca="1">IF($P19="","",'Inputs &amp; Summary'!Y17)</f>
        <v>#REF!</v>
      </c>
      <c r="AC19" s="36" t="e">
        <f ca="1">IF($P19="","",IF(RIGHT(Category,2)="NY",'Inputs &amp; Summary'!AH17,SUM('Inputs &amp; Summary'!AB17,'Inputs &amp; Summary'!AE17*('Inputs &amp; Summary'!AD17="Yes"),'Inputs &amp; Summary'!AG17)))</f>
        <v>#REF!</v>
      </c>
      <c r="AD19" s="40" t="e">
        <f ca="1">IF($P19="","",'Inputs &amp; Summary'!AI17)</f>
        <v>#REF!</v>
      </c>
      <c r="AE19" s="36" t="e">
        <f ca="1">IF($P19="","",'Inputs &amp; Summary'!Z17)</f>
        <v>#REF!</v>
      </c>
      <c r="AF19" s="36" t="e">
        <f ca="1">IF($P19="","",'Inputs &amp; Summary'!U17)</f>
        <v>#REF!</v>
      </c>
      <c r="AG19" s="36" t="e">
        <f ca="1">IF($P19="","",'Inputs &amp; Summary'!V17)</f>
        <v>#REF!</v>
      </c>
      <c r="AH19" s="36" t="e">
        <f ca="1">IF($P19="","",'Inputs &amp; Summary'!W17)</f>
        <v>#REF!</v>
      </c>
      <c r="AI19" s="36" t="e">
        <f ca="1">IF($P19="","",IF($AI$11="",0,'Inputs &amp; Summary'!AM17))</f>
        <v>#REF!</v>
      </c>
      <c r="AJ19" s="36" t="e">
        <f ca="1">IF($P19="","",IF($AJ$11="",0,IF(PTab="P7",'Inputs &amp; Summary'!AQ17,'Inputs &amp; Summary'!AA17)))</f>
        <v>#REF!</v>
      </c>
      <c r="AK19" s="37" t="e">
        <f ca="1">IF($P19="","",'Inputs &amp; Summary'!AJ17)</f>
        <v>#REF!</v>
      </c>
    </row>
    <row r="20" spans="2:37" x14ac:dyDescent="0.3">
      <c r="B20" s="23" t="str">
        <f>IF(PTab="P7","AICO Multiplier Rate",IF(Ref!$S$53="Y","GMAB Cadence",""))</f>
        <v>GMAB Cadence</v>
      </c>
      <c r="C20" s="44" t="str">
        <f>IF(PTab="P7",OMR,IF(Ref!$S$53="Y",GMABC,""))</f>
        <v>CDSC</v>
      </c>
      <c r="E20" s="19"/>
      <c r="F20" s="25" t="str">
        <f>IF($E20="","",INDEX([1]STRTG!$T$14:$AC$303,MATCH($E20,[1]STRTG!$P$14:$P$303,0),MATCH(F$5,[1]STRTG!$T$13:$AC$13,0)))</f>
        <v/>
      </c>
      <c r="G20" s="25" t="str">
        <f>IF($E20="","",INDEX([1]STRTG!$T$14:$AC$303,MATCH($E20,[1]STRTG!$P$14:$P$303,0),MATCH(G$5,[1]STRTG!$T$13:$AC$13,0)))</f>
        <v/>
      </c>
      <c r="H20" s="25" t="str">
        <f>IF($E20="","",INDEX([1]STRTG!$T$14:$AC$303,MATCH($E20,[1]STRTG!$P$14:$P$303,0),MATCH(H$5,[1]STRTG!$T$13:$AC$13,0)))</f>
        <v/>
      </c>
      <c r="I20" s="25" t="str">
        <f>IF($E20="","",INDEX([1]STRTG!$T$14:$AC$303,MATCH($E20,[1]STRTG!$P$14:$P$303,0),MATCH(I$5,[1]STRTG!$T$13:$AC$13,0)))</f>
        <v/>
      </c>
      <c r="J20" s="25" t="str">
        <f>IF($E20="","",INDEX([1]STRTG!$T$14:$AC$303,MATCH($E20,[1]STRTG!$P$14:$P$303,0),MATCH(J$5,[1]STRTG!$T$13:$AC$13,0)))</f>
        <v/>
      </c>
      <c r="K20" s="25" t="str">
        <f>IF($E20="","",IF(RIGHT(VLOOKUP($E20,[1]STRTG!$P$14:$S$303,4,FALSE),6)="EPRST1",Ref!$C$103,IF(RIGHT(VLOOKUP($E20,[1]STRTG!$P$14:$S$303,4,FALSE),6)="EPRST2",Ref!$C$104,"N/A")))</f>
        <v/>
      </c>
      <c r="L20" s="26" t="str">
        <f>IF($E20="","",INDEX([1]STRTG!$T$14:$AC$303,MATCH($E20,[1]STRTG!$P$14:$P$303,0),MATCH(L$5,[1]STRTG!$T$13:$AC$13,0)))</f>
        <v/>
      </c>
      <c r="P20" s="38" t="e">
        <f ca="1">IF('Inputs &amp; Summary'!O18="","",IF('Inputs &amp; Summary'!O18=0,"At Issue",'Inputs &amp; Summary'!P18))</f>
        <v>#REF!</v>
      </c>
      <c r="Q20" s="30" t="e">
        <f ca="1">IF($P20="","",'Inputs &amp; Summary'!O18)</f>
        <v>#REF!</v>
      </c>
      <c r="R20" s="30" t="e">
        <f ca="1">IF($P20="","",'Inputs &amp; Summary'!Q18)</f>
        <v>#REF!</v>
      </c>
      <c r="S20" s="39" t="e" cm="1">
        <f t="array" aca="1" ref="S20" ca="1">IF($P20="","",IF(S$11="",0,IFERROR(INDEX(INDIRECT(S$6&amp;VLOOKUP(Summary,Ref!$Y$13:$AC$18,3,FALSE)),MATCH(IF($P20="At Issue",VLOOKUP(Summary,Ref!$Y$13:$AC$18,2,FALSE),$P20),INDIRECT(S$6&amp;VLOOKUP(Summary,Ref!$Y$13:$AC$18,4,FALSE)),0),VLOOKUP(S$10,Ref!$Y$61:$AA$63,2,FALSE)),0)))</f>
        <v>#REF!</v>
      </c>
      <c r="T20" s="39" t="e" cm="1">
        <f t="array" aca="1" ref="T20" ca="1">IF($P20="","",IF(T$11="",0,IFERROR(INDEX(INDIRECT(T$6&amp;VLOOKUP(Summary,Ref!$Y$13:$AC$18,3,FALSE)),MATCH(IF($P20="At Issue",VLOOKUP(Summary,Ref!$Y$13:$AC$18,2,FALSE),$P20),INDIRECT(T$6&amp;VLOOKUP(Summary,Ref!$Y$13:$AC$18,4,FALSE)),0),VLOOKUP(T$10,Ref!$Y$61:$AA$63,2,FALSE)),0)))</f>
        <v>#REF!</v>
      </c>
      <c r="U20" s="39" t="e" cm="1">
        <f t="array" aca="1" ref="U20" ca="1">IF($P20="","",IF(U$11="",0,IFERROR(INDEX(INDIRECT(U$6&amp;VLOOKUP(Summary,Ref!$Y$13:$AC$18,3,FALSE)),MATCH(IF($P20="At Issue",VLOOKUP(Summary,Ref!$Y$13:$AC$18,2,FALSE),$P20),INDIRECT(U$6&amp;VLOOKUP(Summary,Ref!$Y$13:$AC$18,4,FALSE)),0),VLOOKUP(U$10,Ref!$Y$61:$AA$63,2,FALSE)),0)))</f>
        <v>#REF!</v>
      </c>
      <c r="V20" s="39" t="e" cm="1">
        <f t="array" aca="1" ref="V20" ca="1">IF($P20="","",IF(V$11="",0,IFERROR(INDEX(INDIRECT(V$6&amp;VLOOKUP(Summary,Ref!$Y$13:$AC$18,3,FALSE)),MATCH(IF($P20="At Issue",VLOOKUP(Summary,Ref!$Y$13:$AC$18,2,FALSE),$P20),INDIRECT(V$6&amp;VLOOKUP(Summary,Ref!$Y$13:$AC$18,4,FALSE)),0),VLOOKUP(V$10,Ref!$Y$61:$AA$63,2,FALSE)),0)))</f>
        <v>#REF!</v>
      </c>
      <c r="W20" s="39" t="e" cm="1">
        <f t="array" aca="1" ref="W20" ca="1">IF($P20="","",IF(W$11="",0,IFERROR(INDEX(INDIRECT(W$6&amp;VLOOKUP(Summary,Ref!$Y$13:$AC$18,3,FALSE)),MATCH(IF($P20="At Issue",VLOOKUP(Summary,Ref!$Y$13:$AC$18,2,FALSE),$P20),INDIRECT(W$6&amp;VLOOKUP(Summary,Ref!$Y$13:$AC$18,4,FALSE)),0),VLOOKUP(W$10,Ref!$Y$61:$AA$63,2,FALSE)),0)))</f>
        <v>#REF!</v>
      </c>
      <c r="X20" s="32" t="e">
        <f ca="1">IF($P20="","",'Inputs &amp; Summary'!S18)</f>
        <v>#REF!</v>
      </c>
      <c r="Y20" s="40" t="e">
        <f ca="1">IF($P20="","",'Inputs &amp; Summary'!T18)</f>
        <v>#REF!</v>
      </c>
      <c r="Z20" s="41" t="e">
        <f ca="1">IF($P20="","",IF($Z$11="",0,'Inputs &amp; Summary'!X18))</f>
        <v>#REF!</v>
      </c>
      <c r="AA20" s="36" t="e">
        <f ca="1">IF($P20="","",IF($AA$11="",0,IF(AND(LivBen&lt;&gt;"None",RIGHT(Category,2)&lt;&gt;"NY"),'Inputs &amp; Summary'!AH18,"")))</f>
        <v>#REF!</v>
      </c>
      <c r="AB20" s="36" t="e">
        <f ca="1">IF($P20="","",'Inputs &amp; Summary'!Y18)</f>
        <v>#REF!</v>
      </c>
      <c r="AC20" s="36" t="e">
        <f ca="1">IF($P20="","",IF(RIGHT(Category,2)="NY",'Inputs &amp; Summary'!AH18,SUM('Inputs &amp; Summary'!AB18,'Inputs &amp; Summary'!AE18*('Inputs &amp; Summary'!AD18="Yes"),'Inputs &amp; Summary'!AG18)))</f>
        <v>#REF!</v>
      </c>
      <c r="AD20" s="40" t="e">
        <f ca="1">IF($P20="","",'Inputs &amp; Summary'!AI18)</f>
        <v>#REF!</v>
      </c>
      <c r="AE20" s="36" t="e">
        <f ca="1">IF($P20="","",'Inputs &amp; Summary'!Z18)</f>
        <v>#REF!</v>
      </c>
      <c r="AF20" s="36" t="e">
        <f ca="1">IF($P20="","",'Inputs &amp; Summary'!U18)</f>
        <v>#REF!</v>
      </c>
      <c r="AG20" s="36" t="e">
        <f ca="1">IF($P20="","",'Inputs &amp; Summary'!V18)</f>
        <v>#REF!</v>
      </c>
      <c r="AH20" s="36" t="e">
        <f ca="1">IF($P20="","",'Inputs &amp; Summary'!W18)</f>
        <v>#REF!</v>
      </c>
      <c r="AI20" s="36" t="e">
        <f ca="1">IF($P20="","",IF($AI$11="",0,'Inputs &amp; Summary'!AM18))</f>
        <v>#REF!</v>
      </c>
      <c r="AJ20" s="36" t="e">
        <f ca="1">IF($P20="","",IF($AJ$11="",0,IF(PTab="P7",'Inputs &amp; Summary'!AQ18,'Inputs &amp; Summary'!AA18)))</f>
        <v>#REF!</v>
      </c>
      <c r="AK20" s="37" t="e">
        <f ca="1">IF($P20="","",'Inputs &amp; Summary'!AJ18)</f>
        <v>#REF!</v>
      </c>
    </row>
    <row r="21" spans="2:37" x14ac:dyDescent="0.3">
      <c r="B21" s="46" t="str">
        <f>IF(PTab="P7","AICO Maximum Rate","")</f>
        <v/>
      </c>
      <c r="C21" s="47" t="str">
        <f>IF(PTab="P7",OMaxR,"")</f>
        <v/>
      </c>
      <c r="E21" s="19"/>
      <c r="F21" s="25" t="str">
        <f>IF($E21="","",INDEX([1]STRTG!$T$14:$AC$303,MATCH($E21,[1]STRTG!$P$14:$P$303,0),MATCH(F$5,[1]STRTG!$T$13:$AC$13,0)))</f>
        <v/>
      </c>
      <c r="G21" s="25" t="str">
        <f>IF($E21="","",INDEX([1]STRTG!$T$14:$AC$303,MATCH($E21,[1]STRTG!$P$14:$P$303,0),MATCH(G$5,[1]STRTG!$T$13:$AC$13,0)))</f>
        <v/>
      </c>
      <c r="H21" s="25" t="str">
        <f>IF($E21="","",INDEX([1]STRTG!$T$14:$AC$303,MATCH($E21,[1]STRTG!$P$14:$P$303,0),MATCH(H$5,[1]STRTG!$T$13:$AC$13,0)))</f>
        <v/>
      </c>
      <c r="I21" s="25" t="str">
        <f>IF($E21="","",INDEX([1]STRTG!$T$14:$AC$303,MATCH($E21,[1]STRTG!$P$14:$P$303,0),MATCH(I$5,[1]STRTG!$T$13:$AC$13,0)))</f>
        <v/>
      </c>
      <c r="J21" s="25" t="str">
        <f>IF($E21="","",INDEX([1]STRTG!$T$14:$AC$303,MATCH($E21,[1]STRTG!$P$14:$P$303,0),MATCH(J$5,[1]STRTG!$T$13:$AC$13,0)))</f>
        <v/>
      </c>
      <c r="K21" s="25" t="str">
        <f>IF($E21="","",IF(RIGHT(VLOOKUP($E21,[1]STRTG!$P$14:$S$303,4,FALSE),6)="EPRST1",Ref!$C$103,IF(RIGHT(VLOOKUP($E21,[1]STRTG!$P$14:$S$303,4,FALSE),6)="EPRST2",Ref!$C$104,"N/A")))</f>
        <v/>
      </c>
      <c r="L21" s="26" t="str">
        <f>IF($E21="","",INDEX([1]STRTG!$T$14:$AC$303,MATCH($E21,[1]STRTG!$P$14:$P$303,0),MATCH(L$5,[1]STRTG!$T$13:$AC$13,0)))</f>
        <v/>
      </c>
      <c r="P21" s="38" t="e">
        <f ca="1">IF('Inputs &amp; Summary'!O19="","",IF('Inputs &amp; Summary'!O19=0,"At Issue",'Inputs &amp; Summary'!P19))</f>
        <v>#REF!</v>
      </c>
      <c r="Q21" s="30" t="e">
        <f ca="1">IF($P21="","",'Inputs &amp; Summary'!O19)</f>
        <v>#REF!</v>
      </c>
      <c r="R21" s="30" t="e">
        <f ca="1">IF($P21="","",'Inputs &amp; Summary'!Q19)</f>
        <v>#REF!</v>
      </c>
      <c r="S21" s="39" t="e" cm="1">
        <f t="array" aca="1" ref="S21" ca="1">IF($P21="","",IF(S$11="",0,IFERROR(INDEX(INDIRECT(S$6&amp;VLOOKUP(Summary,Ref!$Y$13:$AC$18,3,FALSE)),MATCH(IF($P21="At Issue",VLOOKUP(Summary,Ref!$Y$13:$AC$18,2,FALSE),$P21),INDIRECT(S$6&amp;VLOOKUP(Summary,Ref!$Y$13:$AC$18,4,FALSE)),0),VLOOKUP(S$10,Ref!$Y$61:$AA$63,2,FALSE)),0)))</f>
        <v>#REF!</v>
      </c>
      <c r="T21" s="39" t="e" cm="1">
        <f t="array" aca="1" ref="T21" ca="1">IF($P21="","",IF(T$11="",0,IFERROR(INDEX(INDIRECT(T$6&amp;VLOOKUP(Summary,Ref!$Y$13:$AC$18,3,FALSE)),MATCH(IF($P21="At Issue",VLOOKUP(Summary,Ref!$Y$13:$AC$18,2,FALSE),$P21),INDIRECT(T$6&amp;VLOOKUP(Summary,Ref!$Y$13:$AC$18,4,FALSE)),0),VLOOKUP(T$10,Ref!$Y$61:$AA$63,2,FALSE)),0)))</f>
        <v>#REF!</v>
      </c>
      <c r="U21" s="39" t="e" cm="1">
        <f t="array" aca="1" ref="U21" ca="1">IF($P21="","",IF(U$11="",0,IFERROR(INDEX(INDIRECT(U$6&amp;VLOOKUP(Summary,Ref!$Y$13:$AC$18,3,FALSE)),MATCH(IF($P21="At Issue",VLOOKUP(Summary,Ref!$Y$13:$AC$18,2,FALSE),$P21),INDIRECT(U$6&amp;VLOOKUP(Summary,Ref!$Y$13:$AC$18,4,FALSE)),0),VLOOKUP(U$10,Ref!$Y$61:$AA$63,2,FALSE)),0)))</f>
        <v>#REF!</v>
      </c>
      <c r="V21" s="39" t="e" cm="1">
        <f t="array" aca="1" ref="V21" ca="1">IF($P21="","",IF(V$11="",0,IFERROR(INDEX(INDIRECT(V$6&amp;VLOOKUP(Summary,Ref!$Y$13:$AC$18,3,FALSE)),MATCH(IF($P21="At Issue",VLOOKUP(Summary,Ref!$Y$13:$AC$18,2,FALSE),$P21),INDIRECT(V$6&amp;VLOOKUP(Summary,Ref!$Y$13:$AC$18,4,FALSE)),0),VLOOKUP(V$10,Ref!$Y$61:$AA$63,2,FALSE)),0)))</f>
        <v>#REF!</v>
      </c>
      <c r="W21" s="39" t="e" cm="1">
        <f t="array" aca="1" ref="W21" ca="1">IF($P21="","",IF(W$11="",0,IFERROR(INDEX(INDIRECT(W$6&amp;VLOOKUP(Summary,Ref!$Y$13:$AC$18,3,FALSE)),MATCH(IF($P21="At Issue",VLOOKUP(Summary,Ref!$Y$13:$AC$18,2,FALSE),$P21),INDIRECT(W$6&amp;VLOOKUP(Summary,Ref!$Y$13:$AC$18,4,FALSE)),0),VLOOKUP(W$10,Ref!$Y$61:$AA$63,2,FALSE)),0)))</f>
        <v>#REF!</v>
      </c>
      <c r="X21" s="32" t="e">
        <f ca="1">IF($P21="","",'Inputs &amp; Summary'!S19)</f>
        <v>#REF!</v>
      </c>
      <c r="Y21" s="40" t="e">
        <f ca="1">IF($P21="","",'Inputs &amp; Summary'!T19)</f>
        <v>#REF!</v>
      </c>
      <c r="Z21" s="41" t="e">
        <f ca="1">IF($P21="","",IF($Z$11="",0,'Inputs &amp; Summary'!X19))</f>
        <v>#REF!</v>
      </c>
      <c r="AA21" s="36" t="e">
        <f ca="1">IF($P21="","",IF($AA$11="",0,IF(AND(LivBen&lt;&gt;"None",RIGHT(Category,2)&lt;&gt;"NY"),'Inputs &amp; Summary'!AH19,"")))</f>
        <v>#REF!</v>
      </c>
      <c r="AB21" s="36" t="e">
        <f ca="1">IF($P21="","",'Inputs &amp; Summary'!Y19)</f>
        <v>#REF!</v>
      </c>
      <c r="AC21" s="36" t="e">
        <f ca="1">IF($P21="","",IF(RIGHT(Category,2)="NY",'Inputs &amp; Summary'!AH19,SUM('Inputs &amp; Summary'!AB19,'Inputs &amp; Summary'!AE19*('Inputs &amp; Summary'!AD19="Yes"),'Inputs &amp; Summary'!AG19)))</f>
        <v>#REF!</v>
      </c>
      <c r="AD21" s="40" t="e">
        <f ca="1">IF($P21="","",'Inputs &amp; Summary'!AI19)</f>
        <v>#REF!</v>
      </c>
      <c r="AE21" s="36" t="e">
        <f ca="1">IF($P21="","",'Inputs &amp; Summary'!Z19)</f>
        <v>#REF!</v>
      </c>
      <c r="AF21" s="36" t="e">
        <f ca="1">IF($P21="","",'Inputs &amp; Summary'!U19)</f>
        <v>#REF!</v>
      </c>
      <c r="AG21" s="36" t="e">
        <f ca="1">IF($P21="","",'Inputs &amp; Summary'!V19)</f>
        <v>#REF!</v>
      </c>
      <c r="AH21" s="36" t="e">
        <f ca="1">IF($P21="","",'Inputs &amp; Summary'!W19)</f>
        <v>#REF!</v>
      </c>
      <c r="AI21" s="36" t="e">
        <f ca="1">IF($P21="","",IF($AI$11="",0,'Inputs &amp; Summary'!AM19))</f>
        <v>#REF!</v>
      </c>
      <c r="AJ21" s="36" t="e">
        <f ca="1">IF($P21="","",IF($AJ$11="",0,IF(PTab="P7",'Inputs &amp; Summary'!AQ19,'Inputs &amp; Summary'!AA19)))</f>
        <v>#REF!</v>
      </c>
      <c r="AK21" s="37" t="e">
        <f ca="1">IF($P21="","",'Inputs &amp; Summary'!AJ19)</f>
        <v>#REF!</v>
      </c>
    </row>
    <row r="22" spans="2:37" x14ac:dyDescent="0.3">
      <c r="E22" s="19"/>
      <c r="F22" s="25" t="str">
        <f>IF($E22="","",INDEX([1]STRTG!$T$14:$AC$303,MATCH($E22,[1]STRTG!$P$14:$P$303,0),MATCH(F$5,[1]STRTG!$T$13:$AC$13,0)))</f>
        <v/>
      </c>
      <c r="G22" s="25" t="str">
        <f>IF($E22="","",INDEX([1]STRTG!$T$14:$AC$303,MATCH($E22,[1]STRTG!$P$14:$P$303,0),MATCH(G$5,[1]STRTG!$T$13:$AC$13,0)))</f>
        <v/>
      </c>
      <c r="H22" s="25" t="str">
        <f>IF($E22="","",INDEX([1]STRTG!$T$14:$AC$303,MATCH($E22,[1]STRTG!$P$14:$P$303,0),MATCH(H$5,[1]STRTG!$T$13:$AC$13,0)))</f>
        <v/>
      </c>
      <c r="I22" s="25" t="str">
        <f>IF($E22="","",INDEX([1]STRTG!$T$14:$AC$303,MATCH($E22,[1]STRTG!$P$14:$P$303,0),MATCH(I$5,[1]STRTG!$T$13:$AC$13,0)))</f>
        <v/>
      </c>
      <c r="J22" s="25" t="str">
        <f>IF($E22="","",INDEX([1]STRTG!$T$14:$AC$303,MATCH($E22,[1]STRTG!$P$14:$P$303,0),MATCH(J$5,[1]STRTG!$T$13:$AC$13,0)))</f>
        <v/>
      </c>
      <c r="K22" s="25" t="str">
        <f>IF($E22="","",IF(RIGHT(VLOOKUP($E22,[1]STRTG!$P$14:$S$303,4,FALSE),6)="EPRST1",Ref!$C$103,IF(RIGHT(VLOOKUP($E22,[1]STRTG!$P$14:$S$303,4,FALSE),6)="EPRST2",Ref!$C$104,"N/A")))</f>
        <v/>
      </c>
      <c r="L22" s="26" t="str">
        <f>IF($E22="","",INDEX([1]STRTG!$T$14:$AC$303,MATCH($E22,[1]STRTG!$P$14:$P$303,0),MATCH(L$5,[1]STRTG!$T$13:$AC$13,0)))</f>
        <v/>
      </c>
      <c r="P22" s="38" t="e">
        <f ca="1">IF('Inputs &amp; Summary'!O20="","",IF('Inputs &amp; Summary'!O20=0,"At Issue",'Inputs &amp; Summary'!P20))</f>
        <v>#REF!</v>
      </c>
      <c r="Q22" s="30" t="e">
        <f ca="1">IF($P22="","",'Inputs &amp; Summary'!O20)</f>
        <v>#REF!</v>
      </c>
      <c r="R22" s="30" t="e">
        <f ca="1">IF($P22="","",'Inputs &amp; Summary'!Q20)</f>
        <v>#REF!</v>
      </c>
      <c r="S22" s="39" t="e" cm="1">
        <f t="array" aca="1" ref="S22" ca="1">IF($P22="","",IF(S$11="",0,IFERROR(INDEX(INDIRECT(S$6&amp;VLOOKUP(Summary,Ref!$Y$13:$AC$18,3,FALSE)),MATCH(IF($P22="At Issue",VLOOKUP(Summary,Ref!$Y$13:$AC$18,2,FALSE),$P22),INDIRECT(S$6&amp;VLOOKUP(Summary,Ref!$Y$13:$AC$18,4,FALSE)),0),VLOOKUP(S$10,Ref!$Y$61:$AA$63,2,FALSE)),0)))</f>
        <v>#REF!</v>
      </c>
      <c r="T22" s="39" t="e" cm="1">
        <f t="array" aca="1" ref="T22" ca="1">IF($P22="","",IF(T$11="",0,IFERROR(INDEX(INDIRECT(T$6&amp;VLOOKUP(Summary,Ref!$Y$13:$AC$18,3,FALSE)),MATCH(IF($P22="At Issue",VLOOKUP(Summary,Ref!$Y$13:$AC$18,2,FALSE),$P22),INDIRECT(T$6&amp;VLOOKUP(Summary,Ref!$Y$13:$AC$18,4,FALSE)),0),VLOOKUP(T$10,Ref!$Y$61:$AA$63,2,FALSE)),0)))</f>
        <v>#REF!</v>
      </c>
      <c r="U22" s="39" t="e" cm="1">
        <f t="array" aca="1" ref="U22" ca="1">IF($P22="","",IF(U$11="",0,IFERROR(INDEX(INDIRECT(U$6&amp;VLOOKUP(Summary,Ref!$Y$13:$AC$18,3,FALSE)),MATCH(IF($P22="At Issue",VLOOKUP(Summary,Ref!$Y$13:$AC$18,2,FALSE),$P22),INDIRECT(U$6&amp;VLOOKUP(Summary,Ref!$Y$13:$AC$18,4,FALSE)),0),VLOOKUP(U$10,Ref!$Y$61:$AA$63,2,FALSE)),0)))</f>
        <v>#REF!</v>
      </c>
      <c r="V22" s="39" t="e" cm="1">
        <f t="array" aca="1" ref="V22" ca="1">IF($P22="","",IF(V$11="",0,IFERROR(INDEX(INDIRECT(V$6&amp;VLOOKUP(Summary,Ref!$Y$13:$AC$18,3,FALSE)),MATCH(IF($P22="At Issue",VLOOKUP(Summary,Ref!$Y$13:$AC$18,2,FALSE),$P22),INDIRECT(V$6&amp;VLOOKUP(Summary,Ref!$Y$13:$AC$18,4,FALSE)),0),VLOOKUP(V$10,Ref!$Y$61:$AA$63,2,FALSE)),0)))</f>
        <v>#REF!</v>
      </c>
      <c r="W22" s="39" t="e" cm="1">
        <f t="array" aca="1" ref="W22" ca="1">IF($P22="","",IF(W$11="",0,IFERROR(INDEX(INDIRECT(W$6&amp;VLOOKUP(Summary,Ref!$Y$13:$AC$18,3,FALSE)),MATCH(IF($P22="At Issue",VLOOKUP(Summary,Ref!$Y$13:$AC$18,2,FALSE),$P22),INDIRECT(W$6&amp;VLOOKUP(Summary,Ref!$Y$13:$AC$18,4,FALSE)),0),VLOOKUP(W$10,Ref!$Y$61:$AA$63,2,FALSE)),0)))</f>
        <v>#REF!</v>
      </c>
      <c r="X22" s="32" t="e">
        <f ca="1">IF($P22="","",'Inputs &amp; Summary'!S20)</f>
        <v>#REF!</v>
      </c>
      <c r="Y22" s="40" t="e">
        <f ca="1">IF($P22="","",'Inputs &amp; Summary'!T20)</f>
        <v>#REF!</v>
      </c>
      <c r="Z22" s="41" t="e">
        <f ca="1">IF($P22="","",IF($Z$11="",0,'Inputs &amp; Summary'!X20))</f>
        <v>#REF!</v>
      </c>
      <c r="AA22" s="36" t="e">
        <f ca="1">IF($P22="","",IF($AA$11="",0,IF(AND(LivBen&lt;&gt;"None",RIGHT(Category,2)&lt;&gt;"NY"),'Inputs &amp; Summary'!AH20,"")))</f>
        <v>#REF!</v>
      </c>
      <c r="AB22" s="36" t="e">
        <f ca="1">IF($P22="","",'Inputs &amp; Summary'!Y20)</f>
        <v>#REF!</v>
      </c>
      <c r="AC22" s="36" t="e">
        <f ca="1">IF($P22="","",IF(RIGHT(Category,2)="NY",'Inputs &amp; Summary'!AH20,SUM('Inputs &amp; Summary'!AB20,'Inputs &amp; Summary'!AE20*('Inputs &amp; Summary'!AD20="Yes"),'Inputs &amp; Summary'!AG20)))</f>
        <v>#REF!</v>
      </c>
      <c r="AD22" s="40" t="e">
        <f ca="1">IF($P22="","",'Inputs &amp; Summary'!AI20)</f>
        <v>#REF!</v>
      </c>
      <c r="AE22" s="36" t="e">
        <f ca="1">IF($P22="","",'Inputs &amp; Summary'!Z20)</f>
        <v>#REF!</v>
      </c>
      <c r="AF22" s="36" t="e">
        <f ca="1">IF($P22="","",'Inputs &amp; Summary'!U20)</f>
        <v>#REF!</v>
      </c>
      <c r="AG22" s="36" t="e">
        <f ca="1">IF($P22="","",'Inputs &amp; Summary'!V20)</f>
        <v>#REF!</v>
      </c>
      <c r="AH22" s="36" t="e">
        <f ca="1">IF($P22="","",'Inputs &amp; Summary'!W20)</f>
        <v>#REF!</v>
      </c>
      <c r="AI22" s="36" t="e">
        <f ca="1">IF($P22="","",IF($AI$11="",0,'Inputs &amp; Summary'!AM20))</f>
        <v>#REF!</v>
      </c>
      <c r="AJ22" s="36" t="e">
        <f ca="1">IF($P22="","",IF($AJ$11="",0,IF(PTab="P7",'Inputs &amp; Summary'!AQ20,'Inputs &amp; Summary'!AA20)))</f>
        <v>#REF!</v>
      </c>
      <c r="AK22" s="37" t="e">
        <f ca="1">IF($P22="","",'Inputs &amp; Summary'!AJ20)</f>
        <v>#REF!</v>
      </c>
    </row>
    <row r="23" spans="2:37" x14ac:dyDescent="0.3">
      <c r="B23" s="15" t="s">
        <v>35</v>
      </c>
      <c r="C23" s="48" t="str">
        <f>LivBen</f>
        <v>None</v>
      </c>
      <c r="E23" s="19"/>
      <c r="F23" s="25" t="str">
        <f>IF($E23="","",INDEX([1]STRTG!$T$14:$AC$303,MATCH($E23,[1]STRTG!$P$14:$P$303,0),MATCH(F$5,[1]STRTG!$T$13:$AC$13,0)))</f>
        <v/>
      </c>
      <c r="G23" s="25" t="str">
        <f>IF($E23="","",INDEX([1]STRTG!$T$14:$AC$303,MATCH($E23,[1]STRTG!$P$14:$P$303,0),MATCH(G$5,[1]STRTG!$T$13:$AC$13,0)))</f>
        <v/>
      </c>
      <c r="H23" s="25" t="str">
        <f>IF($E23="","",INDEX([1]STRTG!$T$14:$AC$303,MATCH($E23,[1]STRTG!$P$14:$P$303,0),MATCH(H$5,[1]STRTG!$T$13:$AC$13,0)))</f>
        <v/>
      </c>
      <c r="I23" s="25" t="str">
        <f>IF($E23="","",INDEX([1]STRTG!$T$14:$AC$303,MATCH($E23,[1]STRTG!$P$14:$P$303,0),MATCH(I$5,[1]STRTG!$T$13:$AC$13,0)))</f>
        <v/>
      </c>
      <c r="J23" s="25" t="str">
        <f>IF($E23="","",INDEX([1]STRTG!$T$14:$AC$303,MATCH($E23,[1]STRTG!$P$14:$P$303,0),MATCH(J$5,[1]STRTG!$T$13:$AC$13,0)))</f>
        <v/>
      </c>
      <c r="K23" s="25" t="str">
        <f>IF($E23="","",IF(RIGHT(VLOOKUP($E23,[1]STRTG!$P$14:$S$303,4,FALSE),6)="EPRST1",Ref!$C$103,IF(RIGHT(VLOOKUP($E23,[1]STRTG!$P$14:$S$303,4,FALSE),6)="EPRST2",Ref!$C$104,"N/A")))</f>
        <v/>
      </c>
      <c r="L23" s="26" t="str">
        <f>IF($E23="","",INDEX([1]STRTG!$T$14:$AC$303,MATCH($E23,[1]STRTG!$P$14:$P$303,0),MATCH(L$5,[1]STRTG!$T$13:$AC$13,0)))</f>
        <v/>
      </c>
      <c r="P23" s="38" t="e">
        <f ca="1">IF('Inputs &amp; Summary'!O21="","",IF('Inputs &amp; Summary'!O21=0,"At Issue",'Inputs &amp; Summary'!P21))</f>
        <v>#REF!</v>
      </c>
      <c r="Q23" s="30" t="e">
        <f ca="1">IF($P23="","",'Inputs &amp; Summary'!O21)</f>
        <v>#REF!</v>
      </c>
      <c r="R23" s="30" t="e">
        <f ca="1">IF($P23="","",'Inputs &amp; Summary'!Q21)</f>
        <v>#REF!</v>
      </c>
      <c r="S23" s="39" t="e" cm="1">
        <f t="array" aca="1" ref="S23" ca="1">IF($P23="","",IF(S$11="",0,IFERROR(INDEX(INDIRECT(S$6&amp;VLOOKUP(Summary,Ref!$Y$13:$AC$18,3,FALSE)),MATCH(IF($P23="At Issue",VLOOKUP(Summary,Ref!$Y$13:$AC$18,2,FALSE),$P23),INDIRECT(S$6&amp;VLOOKUP(Summary,Ref!$Y$13:$AC$18,4,FALSE)),0),VLOOKUP(S$10,Ref!$Y$61:$AA$63,2,FALSE)),0)))</f>
        <v>#REF!</v>
      </c>
      <c r="T23" s="39" t="e" cm="1">
        <f t="array" aca="1" ref="T23" ca="1">IF($P23="","",IF(T$11="",0,IFERROR(INDEX(INDIRECT(T$6&amp;VLOOKUP(Summary,Ref!$Y$13:$AC$18,3,FALSE)),MATCH(IF($P23="At Issue",VLOOKUP(Summary,Ref!$Y$13:$AC$18,2,FALSE),$P23),INDIRECT(T$6&amp;VLOOKUP(Summary,Ref!$Y$13:$AC$18,4,FALSE)),0),VLOOKUP(T$10,Ref!$Y$61:$AA$63,2,FALSE)),0)))</f>
        <v>#REF!</v>
      </c>
      <c r="U23" s="39" t="e" cm="1">
        <f t="array" aca="1" ref="U23" ca="1">IF($P23="","",IF(U$11="",0,IFERROR(INDEX(INDIRECT(U$6&amp;VLOOKUP(Summary,Ref!$Y$13:$AC$18,3,FALSE)),MATCH(IF($P23="At Issue",VLOOKUP(Summary,Ref!$Y$13:$AC$18,2,FALSE),$P23),INDIRECT(U$6&amp;VLOOKUP(Summary,Ref!$Y$13:$AC$18,4,FALSE)),0),VLOOKUP(U$10,Ref!$Y$61:$AA$63,2,FALSE)),0)))</f>
        <v>#REF!</v>
      </c>
      <c r="V23" s="39" t="e" cm="1">
        <f t="array" aca="1" ref="V23" ca="1">IF($P23="","",IF(V$11="",0,IFERROR(INDEX(INDIRECT(V$6&amp;VLOOKUP(Summary,Ref!$Y$13:$AC$18,3,FALSE)),MATCH(IF($P23="At Issue",VLOOKUP(Summary,Ref!$Y$13:$AC$18,2,FALSE),$P23),INDIRECT(V$6&amp;VLOOKUP(Summary,Ref!$Y$13:$AC$18,4,FALSE)),0),VLOOKUP(V$10,Ref!$Y$61:$AA$63,2,FALSE)),0)))</f>
        <v>#REF!</v>
      </c>
      <c r="W23" s="39" t="e" cm="1">
        <f t="array" aca="1" ref="W23" ca="1">IF($P23="","",IF(W$11="",0,IFERROR(INDEX(INDIRECT(W$6&amp;VLOOKUP(Summary,Ref!$Y$13:$AC$18,3,FALSE)),MATCH(IF($P23="At Issue",VLOOKUP(Summary,Ref!$Y$13:$AC$18,2,FALSE),$P23),INDIRECT(W$6&amp;VLOOKUP(Summary,Ref!$Y$13:$AC$18,4,FALSE)),0),VLOOKUP(W$10,Ref!$Y$61:$AA$63,2,FALSE)),0)))</f>
        <v>#REF!</v>
      </c>
      <c r="X23" s="32" t="e">
        <f ca="1">IF($P23="","",'Inputs &amp; Summary'!S21)</f>
        <v>#REF!</v>
      </c>
      <c r="Y23" s="40" t="e">
        <f ca="1">IF($P23="","",'Inputs &amp; Summary'!T21)</f>
        <v>#REF!</v>
      </c>
      <c r="Z23" s="41" t="e">
        <f ca="1">IF($P23="","",IF($Z$11="",0,'Inputs &amp; Summary'!X21))</f>
        <v>#REF!</v>
      </c>
      <c r="AA23" s="36" t="e">
        <f ca="1">IF($P23="","",IF($AA$11="",0,IF(AND(LivBen&lt;&gt;"None",RIGHT(Category,2)&lt;&gt;"NY"),'Inputs &amp; Summary'!AH21,"")))</f>
        <v>#REF!</v>
      </c>
      <c r="AB23" s="36" t="e">
        <f ca="1">IF($P23="","",'Inputs &amp; Summary'!Y21)</f>
        <v>#REF!</v>
      </c>
      <c r="AC23" s="36" t="e">
        <f ca="1">IF($P23="","",IF(RIGHT(Category,2)="NY",'Inputs &amp; Summary'!AH21,SUM('Inputs &amp; Summary'!AB21,'Inputs &amp; Summary'!AE21*('Inputs &amp; Summary'!AD21="Yes"),'Inputs &amp; Summary'!AG21)))</f>
        <v>#REF!</v>
      </c>
      <c r="AD23" s="40" t="e">
        <f ca="1">IF($P23="","",'Inputs &amp; Summary'!AI21)</f>
        <v>#REF!</v>
      </c>
      <c r="AE23" s="36" t="e">
        <f ca="1">IF($P23="","",'Inputs &amp; Summary'!Z21)</f>
        <v>#REF!</v>
      </c>
      <c r="AF23" s="36" t="e">
        <f ca="1">IF($P23="","",'Inputs &amp; Summary'!U21)</f>
        <v>#REF!</v>
      </c>
      <c r="AG23" s="36" t="e">
        <f ca="1">IF($P23="","",'Inputs &amp; Summary'!V21)</f>
        <v>#REF!</v>
      </c>
      <c r="AH23" s="36" t="e">
        <f ca="1">IF($P23="","",'Inputs &amp; Summary'!W21)</f>
        <v>#REF!</v>
      </c>
      <c r="AI23" s="36" t="e">
        <f ca="1">IF($P23="","",IF($AI$11="",0,'Inputs &amp; Summary'!AM21))</f>
        <v>#REF!</v>
      </c>
      <c r="AJ23" s="36" t="e">
        <f ca="1">IF($P23="","",IF($AJ$11="",0,IF(PTab="P7",'Inputs &amp; Summary'!AQ21,'Inputs &amp; Summary'!AA21)))</f>
        <v>#REF!</v>
      </c>
      <c r="AK23" s="37" t="e">
        <f ca="1">IF($P23="","",'Inputs &amp; Summary'!AJ21)</f>
        <v>#REF!</v>
      </c>
    </row>
    <row r="24" spans="2:37" x14ac:dyDescent="0.3">
      <c r="B24" s="23" t="s">
        <v>36</v>
      </c>
      <c r="C24" s="49" t="str">
        <f>IF(AND(RIGHT(Category,2)="NY",LivBen&lt;&gt;"None"),"GLIA",IF(LivBen&lt;&gt;"None","GMWB",IF(SWInd="No","None",SWMode)))</f>
        <v>None</v>
      </c>
      <c r="E24" s="19"/>
      <c r="F24" s="25" t="str">
        <f>IF($E24="","",INDEX([1]STRTG!$T$14:$AC$303,MATCH($E24,[1]STRTG!$P$14:$P$303,0),MATCH(F$5,[1]STRTG!$T$13:$AC$13,0)))</f>
        <v/>
      </c>
      <c r="G24" s="25" t="str">
        <f>IF($E24="","",INDEX([1]STRTG!$T$14:$AC$303,MATCH($E24,[1]STRTG!$P$14:$P$303,0),MATCH(G$5,[1]STRTG!$T$13:$AC$13,0)))</f>
        <v/>
      </c>
      <c r="H24" s="25" t="str">
        <f>IF($E24="","",INDEX([1]STRTG!$T$14:$AC$303,MATCH($E24,[1]STRTG!$P$14:$P$303,0),MATCH(H$5,[1]STRTG!$T$13:$AC$13,0)))</f>
        <v/>
      </c>
      <c r="I24" s="25" t="str">
        <f>IF($E24="","",INDEX([1]STRTG!$T$14:$AC$303,MATCH($E24,[1]STRTG!$P$14:$P$303,0),MATCH(I$5,[1]STRTG!$T$13:$AC$13,0)))</f>
        <v/>
      </c>
      <c r="J24" s="25" t="str">
        <f>IF($E24="","",INDEX([1]STRTG!$T$14:$AC$303,MATCH($E24,[1]STRTG!$P$14:$P$303,0),MATCH(J$5,[1]STRTG!$T$13:$AC$13,0)))</f>
        <v/>
      </c>
      <c r="K24" s="25" t="str">
        <f>IF($E24="","",IF(RIGHT(VLOOKUP($E24,[1]STRTG!$P$14:$S$303,4,FALSE),6)="EPRST1",Ref!$C$103,IF(RIGHT(VLOOKUP($E24,[1]STRTG!$P$14:$S$303,4,FALSE),6)="EPRST2",Ref!$C$104,"N/A")))</f>
        <v/>
      </c>
      <c r="L24" s="26" t="str">
        <f>IF($E24="","",INDEX([1]STRTG!$T$14:$AC$303,MATCH($E24,[1]STRTG!$P$14:$P$303,0),MATCH(L$5,[1]STRTG!$T$13:$AC$13,0)))</f>
        <v/>
      </c>
      <c r="P24" s="38" t="e">
        <f ca="1">IF('Inputs &amp; Summary'!O22="","",IF('Inputs &amp; Summary'!O22=0,"At Issue",'Inputs &amp; Summary'!P22))</f>
        <v>#REF!</v>
      </c>
      <c r="Q24" s="30" t="e">
        <f ca="1">IF($P24="","",'Inputs &amp; Summary'!O22)</f>
        <v>#REF!</v>
      </c>
      <c r="R24" s="30" t="e">
        <f ca="1">IF($P24="","",'Inputs &amp; Summary'!Q22)</f>
        <v>#REF!</v>
      </c>
      <c r="S24" s="39" t="e" cm="1">
        <f t="array" aca="1" ref="S24" ca="1">IF($P24="","",IF(S$11="",0,IFERROR(INDEX(INDIRECT(S$6&amp;VLOOKUP(Summary,Ref!$Y$13:$AC$18,3,FALSE)),MATCH(IF($P24="At Issue",VLOOKUP(Summary,Ref!$Y$13:$AC$18,2,FALSE),$P24),INDIRECT(S$6&amp;VLOOKUP(Summary,Ref!$Y$13:$AC$18,4,FALSE)),0),VLOOKUP(S$10,Ref!$Y$61:$AA$63,2,FALSE)),0)))</f>
        <v>#REF!</v>
      </c>
      <c r="T24" s="39" t="e" cm="1">
        <f t="array" aca="1" ref="T24" ca="1">IF($P24="","",IF(T$11="",0,IFERROR(INDEX(INDIRECT(T$6&amp;VLOOKUP(Summary,Ref!$Y$13:$AC$18,3,FALSE)),MATCH(IF($P24="At Issue",VLOOKUP(Summary,Ref!$Y$13:$AC$18,2,FALSE),$P24),INDIRECT(T$6&amp;VLOOKUP(Summary,Ref!$Y$13:$AC$18,4,FALSE)),0),VLOOKUP(T$10,Ref!$Y$61:$AA$63,2,FALSE)),0)))</f>
        <v>#REF!</v>
      </c>
      <c r="U24" s="39" t="e" cm="1">
        <f t="array" aca="1" ref="U24" ca="1">IF($P24="","",IF(U$11="",0,IFERROR(INDEX(INDIRECT(U$6&amp;VLOOKUP(Summary,Ref!$Y$13:$AC$18,3,FALSE)),MATCH(IF($P24="At Issue",VLOOKUP(Summary,Ref!$Y$13:$AC$18,2,FALSE),$P24),INDIRECT(U$6&amp;VLOOKUP(Summary,Ref!$Y$13:$AC$18,4,FALSE)),0),VLOOKUP(U$10,Ref!$Y$61:$AA$63,2,FALSE)),0)))</f>
        <v>#REF!</v>
      </c>
      <c r="V24" s="39" t="e" cm="1">
        <f t="array" aca="1" ref="V24" ca="1">IF($P24="","",IF(V$11="",0,IFERROR(INDEX(INDIRECT(V$6&amp;VLOOKUP(Summary,Ref!$Y$13:$AC$18,3,FALSE)),MATCH(IF($P24="At Issue",VLOOKUP(Summary,Ref!$Y$13:$AC$18,2,FALSE),$P24),INDIRECT(V$6&amp;VLOOKUP(Summary,Ref!$Y$13:$AC$18,4,FALSE)),0),VLOOKUP(V$10,Ref!$Y$61:$AA$63,2,FALSE)),0)))</f>
        <v>#REF!</v>
      </c>
      <c r="W24" s="39" t="e" cm="1">
        <f t="array" aca="1" ref="W24" ca="1">IF($P24="","",IF(W$11="",0,IFERROR(INDEX(INDIRECT(W$6&amp;VLOOKUP(Summary,Ref!$Y$13:$AC$18,3,FALSE)),MATCH(IF($P24="At Issue",VLOOKUP(Summary,Ref!$Y$13:$AC$18,2,FALSE),$P24),INDIRECT(W$6&amp;VLOOKUP(Summary,Ref!$Y$13:$AC$18,4,FALSE)),0),VLOOKUP(W$10,Ref!$Y$61:$AA$63,2,FALSE)),0)))</f>
        <v>#REF!</v>
      </c>
      <c r="X24" s="32" t="e">
        <f ca="1">IF($P24="","",'Inputs &amp; Summary'!S22)</f>
        <v>#REF!</v>
      </c>
      <c r="Y24" s="40" t="e">
        <f ca="1">IF($P24="","",'Inputs &amp; Summary'!T22)</f>
        <v>#REF!</v>
      </c>
      <c r="Z24" s="41" t="e">
        <f ca="1">IF($P24="","",IF($Z$11="",0,'Inputs &amp; Summary'!X22))</f>
        <v>#REF!</v>
      </c>
      <c r="AA24" s="36" t="e">
        <f ca="1">IF($P24="","",IF($AA$11="",0,IF(AND(LivBen&lt;&gt;"None",RIGHT(Category,2)&lt;&gt;"NY"),'Inputs &amp; Summary'!AH22,"")))</f>
        <v>#REF!</v>
      </c>
      <c r="AB24" s="36" t="e">
        <f ca="1">IF($P24="","",'Inputs &amp; Summary'!Y22)</f>
        <v>#REF!</v>
      </c>
      <c r="AC24" s="36" t="e">
        <f ca="1">IF($P24="","",IF(RIGHT(Category,2)="NY",'Inputs &amp; Summary'!AH22,SUM('Inputs &amp; Summary'!AB22,'Inputs &amp; Summary'!AE22*('Inputs &amp; Summary'!AD22="Yes"),'Inputs &amp; Summary'!AG22)))</f>
        <v>#REF!</v>
      </c>
      <c r="AD24" s="40" t="e">
        <f ca="1">IF($P24="","",'Inputs &amp; Summary'!AI22)</f>
        <v>#REF!</v>
      </c>
      <c r="AE24" s="36" t="e">
        <f ca="1">IF($P24="","",'Inputs &amp; Summary'!Z22)</f>
        <v>#REF!</v>
      </c>
      <c r="AF24" s="36" t="e">
        <f ca="1">IF($P24="","",'Inputs &amp; Summary'!U22)</f>
        <v>#REF!</v>
      </c>
      <c r="AG24" s="36" t="e">
        <f ca="1">IF($P24="","",'Inputs &amp; Summary'!V22)</f>
        <v>#REF!</v>
      </c>
      <c r="AH24" s="36" t="e">
        <f ca="1">IF($P24="","",'Inputs &amp; Summary'!W22)</f>
        <v>#REF!</v>
      </c>
      <c r="AI24" s="36" t="e">
        <f ca="1">IF($P24="","",IF($AI$11="",0,'Inputs &amp; Summary'!AM22))</f>
        <v>#REF!</v>
      </c>
      <c r="AJ24" s="36" t="e">
        <f ca="1">IF($P24="","",IF($AJ$11="",0,IF(PTab="P7",'Inputs &amp; Summary'!AQ22,'Inputs &amp; Summary'!AA22)))</f>
        <v>#REF!</v>
      </c>
      <c r="AK24" s="37" t="e">
        <f ca="1">IF($P24="","",'Inputs &amp; Summary'!AJ22)</f>
        <v>#REF!</v>
      </c>
    </row>
    <row r="25" spans="2:37" x14ac:dyDescent="0.3">
      <c r="B25" s="23" t="s">
        <v>37</v>
      </c>
      <c r="C25" s="50" t="str">
        <f>IF(LivBen="None","N/A",WDAge)</f>
        <v>N/A</v>
      </c>
      <c r="E25" s="19"/>
      <c r="F25" s="25" t="str">
        <f>IF($E25="","",INDEX([1]STRTG!$T$14:$AC$303,MATCH($E25,[1]STRTG!$P$14:$P$303,0),MATCH(F$5,[1]STRTG!$T$13:$AC$13,0)))</f>
        <v/>
      </c>
      <c r="G25" s="25" t="str">
        <f>IF($E25="","",INDEX([1]STRTG!$T$14:$AC$303,MATCH($E25,[1]STRTG!$P$14:$P$303,0),MATCH(G$5,[1]STRTG!$T$13:$AC$13,0)))</f>
        <v/>
      </c>
      <c r="H25" s="25" t="str">
        <f>IF($E25="","",INDEX([1]STRTG!$T$14:$AC$303,MATCH($E25,[1]STRTG!$P$14:$P$303,0),MATCH(H$5,[1]STRTG!$T$13:$AC$13,0)))</f>
        <v/>
      </c>
      <c r="I25" s="25" t="str">
        <f>IF($E25="","",INDEX([1]STRTG!$T$14:$AC$303,MATCH($E25,[1]STRTG!$P$14:$P$303,0),MATCH(I$5,[1]STRTG!$T$13:$AC$13,0)))</f>
        <v/>
      </c>
      <c r="J25" s="25" t="str">
        <f>IF($E25="","",INDEX([1]STRTG!$T$14:$AC$303,MATCH($E25,[1]STRTG!$P$14:$P$303,0),MATCH(J$5,[1]STRTG!$T$13:$AC$13,0)))</f>
        <v/>
      </c>
      <c r="K25" s="25" t="str">
        <f>IF($E25="","",IF(RIGHT(VLOOKUP($E25,[1]STRTG!$P$14:$S$303,4,FALSE),6)="EPRST1",Ref!$C$103,IF(RIGHT(VLOOKUP($E25,[1]STRTG!$P$14:$S$303,4,FALSE),6)="EPRST2",Ref!$C$104,"N/A")))</f>
        <v/>
      </c>
      <c r="L25" s="26" t="str">
        <f>IF($E25="","",INDEX([1]STRTG!$T$14:$AC$303,MATCH($E25,[1]STRTG!$P$14:$P$303,0),MATCH(L$5,[1]STRTG!$T$13:$AC$13,0)))</f>
        <v/>
      </c>
      <c r="P25" s="38" t="e">
        <f ca="1">IF('Inputs &amp; Summary'!O23="","",IF('Inputs &amp; Summary'!O23=0,"At Issue",'Inputs &amp; Summary'!P23))</f>
        <v>#REF!</v>
      </c>
      <c r="Q25" s="30" t="e">
        <f ca="1">IF($P25="","",'Inputs &amp; Summary'!O23)</f>
        <v>#REF!</v>
      </c>
      <c r="R25" s="30" t="e">
        <f ca="1">IF($P25="","",'Inputs &amp; Summary'!Q23)</f>
        <v>#REF!</v>
      </c>
      <c r="S25" s="39" t="e" cm="1">
        <f t="array" aca="1" ref="S25" ca="1">IF($P25="","",IF(S$11="",0,IFERROR(INDEX(INDIRECT(S$6&amp;VLOOKUP(Summary,Ref!$Y$13:$AC$18,3,FALSE)),MATCH(IF($P25="At Issue",VLOOKUP(Summary,Ref!$Y$13:$AC$18,2,FALSE),$P25),INDIRECT(S$6&amp;VLOOKUP(Summary,Ref!$Y$13:$AC$18,4,FALSE)),0),VLOOKUP(S$10,Ref!$Y$61:$AA$63,2,FALSE)),0)))</f>
        <v>#REF!</v>
      </c>
      <c r="T25" s="39" t="e" cm="1">
        <f t="array" aca="1" ref="T25" ca="1">IF($P25="","",IF(T$11="",0,IFERROR(INDEX(INDIRECT(T$6&amp;VLOOKUP(Summary,Ref!$Y$13:$AC$18,3,FALSE)),MATCH(IF($P25="At Issue",VLOOKUP(Summary,Ref!$Y$13:$AC$18,2,FALSE),$P25),INDIRECT(T$6&amp;VLOOKUP(Summary,Ref!$Y$13:$AC$18,4,FALSE)),0),VLOOKUP(T$10,Ref!$Y$61:$AA$63,2,FALSE)),0)))</f>
        <v>#REF!</v>
      </c>
      <c r="U25" s="39" t="e" cm="1">
        <f t="array" aca="1" ref="U25" ca="1">IF($P25="","",IF(U$11="",0,IFERROR(INDEX(INDIRECT(U$6&amp;VLOOKUP(Summary,Ref!$Y$13:$AC$18,3,FALSE)),MATCH(IF($P25="At Issue",VLOOKUP(Summary,Ref!$Y$13:$AC$18,2,FALSE),$P25),INDIRECT(U$6&amp;VLOOKUP(Summary,Ref!$Y$13:$AC$18,4,FALSE)),0),VLOOKUP(U$10,Ref!$Y$61:$AA$63,2,FALSE)),0)))</f>
        <v>#REF!</v>
      </c>
      <c r="V25" s="39" t="e" cm="1">
        <f t="array" aca="1" ref="V25" ca="1">IF($P25="","",IF(V$11="",0,IFERROR(INDEX(INDIRECT(V$6&amp;VLOOKUP(Summary,Ref!$Y$13:$AC$18,3,FALSE)),MATCH(IF($P25="At Issue",VLOOKUP(Summary,Ref!$Y$13:$AC$18,2,FALSE),$P25),INDIRECT(V$6&amp;VLOOKUP(Summary,Ref!$Y$13:$AC$18,4,FALSE)),0),VLOOKUP(V$10,Ref!$Y$61:$AA$63,2,FALSE)),0)))</f>
        <v>#REF!</v>
      </c>
      <c r="W25" s="39" t="e" cm="1">
        <f t="array" aca="1" ref="W25" ca="1">IF($P25="","",IF(W$11="",0,IFERROR(INDEX(INDIRECT(W$6&amp;VLOOKUP(Summary,Ref!$Y$13:$AC$18,3,FALSE)),MATCH(IF($P25="At Issue",VLOOKUP(Summary,Ref!$Y$13:$AC$18,2,FALSE),$P25),INDIRECT(W$6&amp;VLOOKUP(Summary,Ref!$Y$13:$AC$18,4,FALSE)),0),VLOOKUP(W$10,Ref!$Y$61:$AA$63,2,FALSE)),0)))</f>
        <v>#REF!</v>
      </c>
      <c r="X25" s="32" t="e">
        <f ca="1">IF($P25="","",'Inputs &amp; Summary'!S23)</f>
        <v>#REF!</v>
      </c>
      <c r="Y25" s="40" t="e">
        <f ca="1">IF($P25="","",'Inputs &amp; Summary'!T23)</f>
        <v>#REF!</v>
      </c>
      <c r="Z25" s="41" t="e">
        <f ca="1">IF($P25="","",IF($Z$11="",0,'Inputs &amp; Summary'!X23))</f>
        <v>#REF!</v>
      </c>
      <c r="AA25" s="36" t="e">
        <f ca="1">IF($P25="","",IF($AA$11="",0,IF(AND(LivBen&lt;&gt;"None",RIGHT(Category,2)&lt;&gt;"NY"),'Inputs &amp; Summary'!AH23,"")))</f>
        <v>#REF!</v>
      </c>
      <c r="AB25" s="36" t="e">
        <f ca="1">IF($P25="","",'Inputs &amp; Summary'!Y23)</f>
        <v>#REF!</v>
      </c>
      <c r="AC25" s="36" t="e">
        <f ca="1">IF($P25="","",IF(RIGHT(Category,2)="NY",'Inputs &amp; Summary'!AH23,SUM('Inputs &amp; Summary'!AB23,'Inputs &amp; Summary'!AE23*('Inputs &amp; Summary'!AD23="Yes"),'Inputs &amp; Summary'!AG23)))</f>
        <v>#REF!</v>
      </c>
      <c r="AD25" s="40" t="e">
        <f ca="1">IF($P25="","",'Inputs &amp; Summary'!AI23)</f>
        <v>#REF!</v>
      </c>
      <c r="AE25" s="36" t="e">
        <f ca="1">IF($P25="","",'Inputs &amp; Summary'!Z23)</f>
        <v>#REF!</v>
      </c>
      <c r="AF25" s="36" t="e">
        <f ca="1">IF($P25="","",'Inputs &amp; Summary'!U23)</f>
        <v>#REF!</v>
      </c>
      <c r="AG25" s="36" t="e">
        <f ca="1">IF($P25="","",'Inputs &amp; Summary'!V23)</f>
        <v>#REF!</v>
      </c>
      <c r="AH25" s="36" t="e">
        <f ca="1">IF($P25="","",'Inputs &amp; Summary'!W23)</f>
        <v>#REF!</v>
      </c>
      <c r="AI25" s="36" t="e">
        <f ca="1">IF($P25="","",IF($AI$11="",0,'Inputs &amp; Summary'!AM23))</f>
        <v>#REF!</v>
      </c>
      <c r="AJ25" s="36" t="e">
        <f ca="1">IF($P25="","",IF($AJ$11="",0,IF(PTab="P7",'Inputs &amp; Summary'!AQ23,'Inputs &amp; Summary'!AA23)))</f>
        <v>#REF!</v>
      </c>
      <c r="AK25" s="37" t="e">
        <f ca="1">IF($P25="","",'Inputs &amp; Summary'!AJ23)</f>
        <v>#REF!</v>
      </c>
    </row>
    <row r="26" spans="2:37" x14ac:dyDescent="0.3">
      <c r="B26" s="23" t="str">
        <f>IF(AND(RIGHT(Category,2)="NY",LivBen&lt;&gt;"None"),"Initial Income Rate","Withdrawal Rate")</f>
        <v>Withdrawal Rate</v>
      </c>
      <c r="C26" s="51" t="str">
        <f>IF(AND(RIGHT(Category,2)="NY",LivBen&lt;&gt;"None"),VLOOKUP(IF(Election="Joint Life",MIN(IssAge1,IssAge2),IssAge1),Ref!$BC$7:$BF$39,4,FALSE),IF(LivBen&lt;&gt;"None",VLOOKUP(WDAge,Ref!$BC$7:$BF$39,2),"N/A"))</f>
        <v>N/A</v>
      </c>
      <c r="E26" s="19"/>
      <c r="F26" s="25" t="str">
        <f>IF($E26="","",INDEX([1]STRTG!$T$14:$AC$303,MATCH($E26,[1]STRTG!$P$14:$P$303,0),MATCH(F$5,[1]STRTG!$T$13:$AC$13,0)))</f>
        <v/>
      </c>
      <c r="G26" s="25" t="str">
        <f>IF($E26="","",INDEX([1]STRTG!$T$14:$AC$303,MATCH($E26,[1]STRTG!$P$14:$P$303,0),MATCH(G$5,[1]STRTG!$T$13:$AC$13,0)))</f>
        <v/>
      </c>
      <c r="H26" s="25" t="str">
        <f>IF($E26="","",INDEX([1]STRTG!$T$14:$AC$303,MATCH($E26,[1]STRTG!$P$14:$P$303,0),MATCH(H$5,[1]STRTG!$T$13:$AC$13,0)))</f>
        <v/>
      </c>
      <c r="I26" s="25" t="str">
        <f>IF($E26="","",INDEX([1]STRTG!$T$14:$AC$303,MATCH($E26,[1]STRTG!$P$14:$P$303,0),MATCH(I$5,[1]STRTG!$T$13:$AC$13,0)))</f>
        <v/>
      </c>
      <c r="J26" s="25" t="str">
        <f>IF($E26="","",INDEX([1]STRTG!$T$14:$AC$303,MATCH($E26,[1]STRTG!$P$14:$P$303,0),MATCH(J$5,[1]STRTG!$T$13:$AC$13,0)))</f>
        <v/>
      </c>
      <c r="K26" s="25" t="str">
        <f>IF($E26="","",IF(RIGHT(VLOOKUP($E26,[1]STRTG!$P$14:$S$303,4,FALSE),6)="EPRST1",Ref!$C$103,IF(RIGHT(VLOOKUP($E26,[1]STRTG!$P$14:$S$303,4,FALSE),6)="EPRST2",Ref!$C$104,"N/A")))</f>
        <v/>
      </c>
      <c r="L26" s="26" t="str">
        <f>IF($E26="","",INDEX([1]STRTG!$T$14:$AC$303,MATCH($E26,[1]STRTG!$P$14:$P$303,0),MATCH(L$5,[1]STRTG!$T$13:$AC$13,0)))</f>
        <v/>
      </c>
      <c r="P26" s="38" t="e">
        <f ca="1">IF('Inputs &amp; Summary'!O24="","",IF('Inputs &amp; Summary'!O24=0,"At Issue",'Inputs &amp; Summary'!P24))</f>
        <v>#REF!</v>
      </c>
      <c r="Q26" s="30" t="e">
        <f ca="1">IF($P26="","",'Inputs &amp; Summary'!O24)</f>
        <v>#REF!</v>
      </c>
      <c r="R26" s="30" t="e">
        <f ca="1">IF($P26="","",'Inputs &amp; Summary'!Q24)</f>
        <v>#REF!</v>
      </c>
      <c r="S26" s="39" t="e" cm="1">
        <f t="array" aca="1" ref="S26" ca="1">IF($P26="","",IF(S$11="",0,IFERROR(INDEX(INDIRECT(S$6&amp;VLOOKUP(Summary,Ref!$Y$13:$AC$18,3,FALSE)),MATCH(IF($P26="At Issue",VLOOKUP(Summary,Ref!$Y$13:$AC$18,2,FALSE),$P26),INDIRECT(S$6&amp;VLOOKUP(Summary,Ref!$Y$13:$AC$18,4,FALSE)),0),VLOOKUP(S$10,Ref!$Y$61:$AA$63,2,FALSE)),0)))</f>
        <v>#REF!</v>
      </c>
      <c r="T26" s="39" t="e" cm="1">
        <f t="array" aca="1" ref="T26" ca="1">IF($P26="","",IF(T$11="",0,IFERROR(INDEX(INDIRECT(T$6&amp;VLOOKUP(Summary,Ref!$Y$13:$AC$18,3,FALSE)),MATCH(IF($P26="At Issue",VLOOKUP(Summary,Ref!$Y$13:$AC$18,2,FALSE),$P26),INDIRECT(T$6&amp;VLOOKUP(Summary,Ref!$Y$13:$AC$18,4,FALSE)),0),VLOOKUP(T$10,Ref!$Y$61:$AA$63,2,FALSE)),0)))</f>
        <v>#REF!</v>
      </c>
      <c r="U26" s="39" t="e" cm="1">
        <f t="array" aca="1" ref="U26" ca="1">IF($P26="","",IF(U$11="",0,IFERROR(INDEX(INDIRECT(U$6&amp;VLOOKUP(Summary,Ref!$Y$13:$AC$18,3,FALSE)),MATCH(IF($P26="At Issue",VLOOKUP(Summary,Ref!$Y$13:$AC$18,2,FALSE),$P26),INDIRECT(U$6&amp;VLOOKUP(Summary,Ref!$Y$13:$AC$18,4,FALSE)),0),VLOOKUP(U$10,Ref!$Y$61:$AA$63,2,FALSE)),0)))</f>
        <v>#REF!</v>
      </c>
      <c r="V26" s="39" t="e" cm="1">
        <f t="array" aca="1" ref="V26" ca="1">IF($P26="","",IF(V$11="",0,IFERROR(INDEX(INDIRECT(V$6&amp;VLOOKUP(Summary,Ref!$Y$13:$AC$18,3,FALSE)),MATCH(IF($P26="At Issue",VLOOKUP(Summary,Ref!$Y$13:$AC$18,2,FALSE),$P26),INDIRECT(V$6&amp;VLOOKUP(Summary,Ref!$Y$13:$AC$18,4,FALSE)),0),VLOOKUP(V$10,Ref!$Y$61:$AA$63,2,FALSE)),0)))</f>
        <v>#REF!</v>
      </c>
      <c r="W26" s="39" t="e" cm="1">
        <f t="array" aca="1" ref="W26" ca="1">IF($P26="","",IF(W$11="",0,IFERROR(INDEX(INDIRECT(W$6&amp;VLOOKUP(Summary,Ref!$Y$13:$AC$18,3,FALSE)),MATCH(IF($P26="At Issue",VLOOKUP(Summary,Ref!$Y$13:$AC$18,2,FALSE),$P26),INDIRECT(W$6&amp;VLOOKUP(Summary,Ref!$Y$13:$AC$18,4,FALSE)),0),VLOOKUP(W$10,Ref!$Y$61:$AA$63,2,FALSE)),0)))</f>
        <v>#REF!</v>
      </c>
      <c r="X26" s="32" t="e">
        <f ca="1">IF($P26="","",'Inputs &amp; Summary'!S24)</f>
        <v>#REF!</v>
      </c>
      <c r="Y26" s="40" t="e">
        <f ca="1">IF($P26="","",'Inputs &amp; Summary'!T24)</f>
        <v>#REF!</v>
      </c>
      <c r="Z26" s="41" t="e">
        <f ca="1">IF($P26="","",IF($Z$11="",0,'Inputs &amp; Summary'!X24))</f>
        <v>#REF!</v>
      </c>
      <c r="AA26" s="36" t="e">
        <f ca="1">IF($P26="","",IF($AA$11="",0,IF(AND(LivBen&lt;&gt;"None",RIGHT(Category,2)&lt;&gt;"NY"),'Inputs &amp; Summary'!AH24,"")))</f>
        <v>#REF!</v>
      </c>
      <c r="AB26" s="36" t="e">
        <f ca="1">IF($P26="","",'Inputs &amp; Summary'!Y24)</f>
        <v>#REF!</v>
      </c>
      <c r="AC26" s="36" t="e">
        <f ca="1">IF($P26="","",IF(RIGHT(Category,2)="NY",'Inputs &amp; Summary'!AH24,SUM('Inputs &amp; Summary'!AB24,'Inputs &amp; Summary'!AE24*('Inputs &amp; Summary'!AD24="Yes"),'Inputs &amp; Summary'!AG24)))</f>
        <v>#REF!</v>
      </c>
      <c r="AD26" s="40" t="e">
        <f ca="1">IF($P26="","",'Inputs &amp; Summary'!AI24)</f>
        <v>#REF!</v>
      </c>
      <c r="AE26" s="36" t="e">
        <f ca="1">IF($P26="","",'Inputs &amp; Summary'!Z24)</f>
        <v>#REF!</v>
      </c>
      <c r="AF26" s="36" t="e">
        <f ca="1">IF($P26="","",'Inputs &amp; Summary'!U24)</f>
        <v>#REF!</v>
      </c>
      <c r="AG26" s="36" t="e">
        <f ca="1">IF($P26="","",'Inputs &amp; Summary'!V24)</f>
        <v>#REF!</v>
      </c>
      <c r="AH26" s="36" t="e">
        <f ca="1">IF($P26="","",'Inputs &amp; Summary'!W24)</f>
        <v>#REF!</v>
      </c>
      <c r="AI26" s="36" t="e">
        <f ca="1">IF($P26="","",IF($AI$11="",0,'Inputs &amp; Summary'!AM24))</f>
        <v>#REF!</v>
      </c>
      <c r="AJ26" s="36" t="e">
        <f ca="1">IF($P26="","",IF($AJ$11="",0,IF(PTab="P7",'Inputs &amp; Summary'!AQ24,'Inputs &amp; Summary'!AA24)))</f>
        <v>#REF!</v>
      </c>
      <c r="AK26" s="37" t="e">
        <f ca="1">IF($P26="","",'Inputs &amp; Summary'!AJ24)</f>
        <v>#REF!</v>
      </c>
    </row>
    <row r="27" spans="2:37" x14ac:dyDescent="0.3">
      <c r="B27" s="23" t="str">
        <f>IF(AND(RIGHT(Category,2)="NY",LivBen&lt;&gt;"None"),"Income Percentage Increase","")</f>
        <v/>
      </c>
      <c r="C27" s="51" t="str">
        <f>IF(AND(RIGHT(Category,2)="NY",LivBen&lt;&gt;"None"),IPI,"")</f>
        <v/>
      </c>
      <c r="E27" s="19"/>
      <c r="F27" s="25" t="str">
        <f>IF($E27="","",INDEX([1]STRTG!$T$14:$AC$303,MATCH($E27,[1]STRTG!$P$14:$P$303,0),MATCH(F$5,[1]STRTG!$T$13:$AC$13,0)))</f>
        <v/>
      </c>
      <c r="G27" s="25" t="str">
        <f>IF($E27="","",INDEX([1]STRTG!$T$14:$AC$303,MATCH($E27,[1]STRTG!$P$14:$P$303,0),MATCH(G$5,[1]STRTG!$T$13:$AC$13,0)))</f>
        <v/>
      </c>
      <c r="H27" s="25" t="str">
        <f>IF($E27="","",INDEX([1]STRTG!$T$14:$AC$303,MATCH($E27,[1]STRTG!$P$14:$P$303,0),MATCH(H$5,[1]STRTG!$T$13:$AC$13,0)))</f>
        <v/>
      </c>
      <c r="I27" s="25" t="str">
        <f>IF($E27="","",INDEX([1]STRTG!$T$14:$AC$303,MATCH($E27,[1]STRTG!$P$14:$P$303,0),MATCH(I$5,[1]STRTG!$T$13:$AC$13,0)))</f>
        <v/>
      </c>
      <c r="J27" s="25" t="str">
        <f>IF($E27="","",INDEX([1]STRTG!$T$14:$AC$303,MATCH($E27,[1]STRTG!$P$14:$P$303,0),MATCH(J$5,[1]STRTG!$T$13:$AC$13,0)))</f>
        <v/>
      </c>
      <c r="K27" s="25" t="str">
        <f>IF($E27="","",IF(RIGHT(VLOOKUP($E27,[1]STRTG!$P$14:$S$303,4,FALSE),6)="EPRST1",Ref!$C$103,IF(RIGHT(VLOOKUP($E27,[1]STRTG!$P$14:$S$303,4,FALSE),6)="EPRST2",Ref!$C$104,"N/A")))</f>
        <v/>
      </c>
      <c r="L27" s="26" t="str">
        <f>IF($E27="","",INDEX([1]STRTG!$T$14:$AC$303,MATCH($E27,[1]STRTG!$P$14:$P$303,0),MATCH(L$5,[1]STRTG!$T$13:$AC$13,0)))</f>
        <v/>
      </c>
      <c r="P27" s="38" t="e">
        <f ca="1">IF('Inputs &amp; Summary'!O25="","",IF('Inputs &amp; Summary'!O25=0,"At Issue",'Inputs &amp; Summary'!P25))</f>
        <v>#REF!</v>
      </c>
      <c r="Q27" s="30" t="e">
        <f ca="1">IF($P27="","",'Inputs &amp; Summary'!O25)</f>
        <v>#REF!</v>
      </c>
      <c r="R27" s="30" t="e">
        <f ca="1">IF($P27="","",'Inputs &amp; Summary'!Q25)</f>
        <v>#REF!</v>
      </c>
      <c r="S27" s="39" t="e" cm="1">
        <f t="array" aca="1" ref="S27" ca="1">IF($P27="","",IF(S$11="",0,IFERROR(INDEX(INDIRECT(S$6&amp;VLOOKUP(Summary,Ref!$Y$13:$AC$18,3,FALSE)),MATCH(IF($P27="At Issue",VLOOKUP(Summary,Ref!$Y$13:$AC$18,2,FALSE),$P27),INDIRECT(S$6&amp;VLOOKUP(Summary,Ref!$Y$13:$AC$18,4,FALSE)),0),VLOOKUP(S$10,Ref!$Y$61:$AA$63,2,FALSE)),0)))</f>
        <v>#REF!</v>
      </c>
      <c r="T27" s="39" t="e" cm="1">
        <f t="array" aca="1" ref="T27" ca="1">IF($P27="","",IF(T$11="",0,IFERROR(INDEX(INDIRECT(T$6&amp;VLOOKUP(Summary,Ref!$Y$13:$AC$18,3,FALSE)),MATCH(IF($P27="At Issue",VLOOKUP(Summary,Ref!$Y$13:$AC$18,2,FALSE),$P27),INDIRECT(T$6&amp;VLOOKUP(Summary,Ref!$Y$13:$AC$18,4,FALSE)),0),VLOOKUP(T$10,Ref!$Y$61:$AA$63,2,FALSE)),0)))</f>
        <v>#REF!</v>
      </c>
      <c r="U27" s="39" t="e" cm="1">
        <f t="array" aca="1" ref="U27" ca="1">IF($P27="","",IF(U$11="",0,IFERROR(INDEX(INDIRECT(U$6&amp;VLOOKUP(Summary,Ref!$Y$13:$AC$18,3,FALSE)),MATCH(IF($P27="At Issue",VLOOKUP(Summary,Ref!$Y$13:$AC$18,2,FALSE),$P27),INDIRECT(U$6&amp;VLOOKUP(Summary,Ref!$Y$13:$AC$18,4,FALSE)),0),VLOOKUP(U$10,Ref!$Y$61:$AA$63,2,FALSE)),0)))</f>
        <v>#REF!</v>
      </c>
      <c r="V27" s="39" t="e" cm="1">
        <f t="array" aca="1" ref="V27" ca="1">IF($P27="","",IF(V$11="",0,IFERROR(INDEX(INDIRECT(V$6&amp;VLOOKUP(Summary,Ref!$Y$13:$AC$18,3,FALSE)),MATCH(IF($P27="At Issue",VLOOKUP(Summary,Ref!$Y$13:$AC$18,2,FALSE),$P27),INDIRECT(V$6&amp;VLOOKUP(Summary,Ref!$Y$13:$AC$18,4,FALSE)),0),VLOOKUP(V$10,Ref!$Y$61:$AA$63,2,FALSE)),0)))</f>
        <v>#REF!</v>
      </c>
      <c r="W27" s="39" t="e" cm="1">
        <f t="array" aca="1" ref="W27" ca="1">IF($P27="","",IF(W$11="",0,IFERROR(INDEX(INDIRECT(W$6&amp;VLOOKUP(Summary,Ref!$Y$13:$AC$18,3,FALSE)),MATCH(IF($P27="At Issue",VLOOKUP(Summary,Ref!$Y$13:$AC$18,2,FALSE),$P27),INDIRECT(W$6&amp;VLOOKUP(Summary,Ref!$Y$13:$AC$18,4,FALSE)),0),VLOOKUP(W$10,Ref!$Y$61:$AA$63,2,FALSE)),0)))</f>
        <v>#REF!</v>
      </c>
      <c r="X27" s="32" t="e">
        <f ca="1">IF($P27="","",'Inputs &amp; Summary'!S25)</f>
        <v>#REF!</v>
      </c>
      <c r="Y27" s="40" t="e">
        <f ca="1">IF($P27="","",'Inputs &amp; Summary'!T25)</f>
        <v>#REF!</v>
      </c>
      <c r="Z27" s="41" t="e">
        <f ca="1">IF($P27="","",IF($Z$11="",0,'Inputs &amp; Summary'!X25))</f>
        <v>#REF!</v>
      </c>
      <c r="AA27" s="36" t="e">
        <f ca="1">IF($P27="","",IF($AA$11="",0,IF(AND(LivBen&lt;&gt;"None",RIGHT(Category,2)&lt;&gt;"NY"),'Inputs &amp; Summary'!AH25,"")))</f>
        <v>#REF!</v>
      </c>
      <c r="AB27" s="36" t="e">
        <f ca="1">IF($P27="","",'Inputs &amp; Summary'!Y25)</f>
        <v>#REF!</v>
      </c>
      <c r="AC27" s="36" t="e">
        <f ca="1">IF($P27="","",IF(RIGHT(Category,2)="NY",'Inputs &amp; Summary'!AH25,SUM('Inputs &amp; Summary'!AB25,'Inputs &amp; Summary'!AE25*('Inputs &amp; Summary'!AD25="Yes"),'Inputs &amp; Summary'!AG25)))</f>
        <v>#REF!</v>
      </c>
      <c r="AD27" s="40" t="e">
        <f ca="1">IF($P27="","",'Inputs &amp; Summary'!AI25)</f>
        <v>#REF!</v>
      </c>
      <c r="AE27" s="36" t="e">
        <f ca="1">IF($P27="","",'Inputs &amp; Summary'!Z25)</f>
        <v>#REF!</v>
      </c>
      <c r="AF27" s="36" t="e">
        <f ca="1">IF($P27="","",'Inputs &amp; Summary'!U25)</f>
        <v>#REF!</v>
      </c>
      <c r="AG27" s="36" t="e">
        <f ca="1">IF($P27="","",'Inputs &amp; Summary'!V25)</f>
        <v>#REF!</v>
      </c>
      <c r="AH27" s="36" t="e">
        <f ca="1">IF($P27="","",'Inputs &amp; Summary'!W25)</f>
        <v>#REF!</v>
      </c>
      <c r="AI27" s="36" t="e">
        <f ca="1">IF($P27="","",IF($AI$11="",0,'Inputs &amp; Summary'!AM25))</f>
        <v>#REF!</v>
      </c>
      <c r="AJ27" s="36" t="e">
        <f ca="1">IF($P27="","",IF($AJ$11="",0,IF(PTab="P7",'Inputs &amp; Summary'!AQ25,'Inputs &amp; Summary'!AA25)))</f>
        <v>#REF!</v>
      </c>
      <c r="AK27" s="37" t="e">
        <f ca="1">IF($P27="","",'Inputs &amp; Summary'!AJ25)</f>
        <v>#REF!</v>
      </c>
    </row>
    <row r="28" spans="2:37" x14ac:dyDescent="0.3">
      <c r="B28" s="46" t="str">
        <f>IF(AND(RIGHT(Category,2)&lt;&gt;"NY",LivBen&lt;&gt;"None"),"GMWB Fee","")</f>
        <v/>
      </c>
      <c r="C28" s="52" t="str">
        <f>IF(AND(RIGHT(Category,2)&lt;&gt;"NY",LivBen&lt;&gt;"None"),GMWBFee,"")</f>
        <v/>
      </c>
      <c r="E28" s="53"/>
      <c r="F28" s="54" t="str">
        <f>IF($E28="","",INDEX([1]STRTG!$T$14:$AC$303,MATCH($E28,[1]STRTG!$P$14:$P$303,0),MATCH(F$5,[1]STRTG!$T$13:$AC$13,0)))</f>
        <v/>
      </c>
      <c r="G28" s="54" t="str">
        <f>IF($E28="","",INDEX([1]STRTG!$T$14:$AC$303,MATCH($E28,[1]STRTG!$P$14:$P$303,0),MATCH(G$5,[1]STRTG!$T$13:$AC$13,0)))</f>
        <v/>
      </c>
      <c r="H28" s="54" t="str">
        <f>IF($E28="","",INDEX([1]STRTG!$T$14:$AC$303,MATCH($E28,[1]STRTG!$P$14:$P$303,0),MATCH(H$5,[1]STRTG!$T$13:$AC$13,0)))</f>
        <v/>
      </c>
      <c r="I28" s="54" t="str">
        <f>IF($E28="","",INDEX([1]STRTG!$T$14:$AC$303,MATCH($E28,[1]STRTG!$P$14:$P$303,0),MATCH(I$5,[1]STRTG!$T$13:$AC$13,0)))</f>
        <v/>
      </c>
      <c r="J28" s="54" t="str">
        <f>IF($E28="","",INDEX([1]STRTG!$T$14:$AC$303,MATCH($E28,[1]STRTG!$P$14:$P$303,0),MATCH(J$5,[1]STRTG!$T$13:$AC$13,0)))</f>
        <v/>
      </c>
      <c r="K28" s="54" t="str">
        <f>IF($E28="","",IF(RIGHT(VLOOKUP($E28,[1]STRTG!$P$14:$S$303,4,FALSE),6)="EPRST1",Ref!$C$103,IF(RIGHT(VLOOKUP($E28,[1]STRTG!$P$14:$S$303,4,FALSE),6)="EPRST2",Ref!$C$104,"N/A")))</f>
        <v/>
      </c>
      <c r="L28" s="55" t="str">
        <f>IF($E28="","",INDEX([1]STRTG!$T$14:$AC$303,MATCH($E28,[1]STRTG!$P$14:$P$303,0),MATCH(L$5,[1]STRTG!$T$13:$AC$13,0)))</f>
        <v/>
      </c>
      <c r="P28" s="38" t="e">
        <f ca="1">IF('Inputs &amp; Summary'!O26="","",IF('Inputs &amp; Summary'!O26=0,"At Issue",'Inputs &amp; Summary'!P26))</f>
        <v>#REF!</v>
      </c>
      <c r="Q28" s="30" t="e">
        <f ca="1">IF($P28="","",'Inputs &amp; Summary'!O26)</f>
        <v>#REF!</v>
      </c>
      <c r="R28" s="30" t="e">
        <f ca="1">IF($P28="","",'Inputs &amp; Summary'!Q26)</f>
        <v>#REF!</v>
      </c>
      <c r="S28" s="39" t="e" cm="1">
        <f t="array" aca="1" ref="S28" ca="1">IF($P28="","",IF(S$11="",0,IFERROR(INDEX(INDIRECT(S$6&amp;VLOOKUP(Summary,Ref!$Y$13:$AC$18,3,FALSE)),MATCH(IF($P28="At Issue",VLOOKUP(Summary,Ref!$Y$13:$AC$18,2,FALSE),$P28),INDIRECT(S$6&amp;VLOOKUP(Summary,Ref!$Y$13:$AC$18,4,FALSE)),0),VLOOKUP(S$10,Ref!$Y$61:$AA$63,2,FALSE)),0)))</f>
        <v>#REF!</v>
      </c>
      <c r="T28" s="39" t="e" cm="1">
        <f t="array" aca="1" ref="T28" ca="1">IF($P28="","",IF(T$11="",0,IFERROR(INDEX(INDIRECT(T$6&amp;VLOOKUP(Summary,Ref!$Y$13:$AC$18,3,FALSE)),MATCH(IF($P28="At Issue",VLOOKUP(Summary,Ref!$Y$13:$AC$18,2,FALSE),$P28),INDIRECT(T$6&amp;VLOOKUP(Summary,Ref!$Y$13:$AC$18,4,FALSE)),0),VLOOKUP(T$10,Ref!$Y$61:$AA$63,2,FALSE)),0)))</f>
        <v>#REF!</v>
      </c>
      <c r="U28" s="39" t="e" cm="1">
        <f t="array" aca="1" ref="U28" ca="1">IF($P28="","",IF(U$11="",0,IFERROR(INDEX(INDIRECT(U$6&amp;VLOOKUP(Summary,Ref!$Y$13:$AC$18,3,FALSE)),MATCH(IF($P28="At Issue",VLOOKUP(Summary,Ref!$Y$13:$AC$18,2,FALSE),$P28),INDIRECT(U$6&amp;VLOOKUP(Summary,Ref!$Y$13:$AC$18,4,FALSE)),0),VLOOKUP(U$10,Ref!$Y$61:$AA$63,2,FALSE)),0)))</f>
        <v>#REF!</v>
      </c>
      <c r="V28" s="39" t="e" cm="1">
        <f t="array" aca="1" ref="V28" ca="1">IF($P28="","",IF(V$11="",0,IFERROR(INDEX(INDIRECT(V$6&amp;VLOOKUP(Summary,Ref!$Y$13:$AC$18,3,FALSE)),MATCH(IF($P28="At Issue",VLOOKUP(Summary,Ref!$Y$13:$AC$18,2,FALSE),$P28),INDIRECT(V$6&amp;VLOOKUP(Summary,Ref!$Y$13:$AC$18,4,FALSE)),0),VLOOKUP(V$10,Ref!$Y$61:$AA$63,2,FALSE)),0)))</f>
        <v>#REF!</v>
      </c>
      <c r="W28" s="39" t="e" cm="1">
        <f t="array" aca="1" ref="W28" ca="1">IF($P28="","",IF(W$11="",0,IFERROR(INDEX(INDIRECT(W$6&amp;VLOOKUP(Summary,Ref!$Y$13:$AC$18,3,FALSE)),MATCH(IF($P28="At Issue",VLOOKUP(Summary,Ref!$Y$13:$AC$18,2,FALSE),$P28),INDIRECT(W$6&amp;VLOOKUP(Summary,Ref!$Y$13:$AC$18,4,FALSE)),0),VLOOKUP(W$10,Ref!$Y$61:$AA$63,2,FALSE)),0)))</f>
        <v>#REF!</v>
      </c>
      <c r="X28" s="32" t="e">
        <f ca="1">IF($P28="","",'Inputs &amp; Summary'!S26)</f>
        <v>#REF!</v>
      </c>
      <c r="Y28" s="40" t="e">
        <f ca="1">IF($P28="","",'Inputs &amp; Summary'!T26)</f>
        <v>#REF!</v>
      </c>
      <c r="Z28" s="41" t="e">
        <f ca="1">IF($P28="","",IF($Z$11="",0,'Inputs &amp; Summary'!X26))</f>
        <v>#REF!</v>
      </c>
      <c r="AA28" s="36" t="e">
        <f ca="1">IF($P28="","",IF($AA$11="",0,IF(AND(LivBen&lt;&gt;"None",RIGHT(Category,2)&lt;&gt;"NY"),'Inputs &amp; Summary'!AH26,"")))</f>
        <v>#REF!</v>
      </c>
      <c r="AB28" s="36" t="e">
        <f ca="1">IF($P28="","",'Inputs &amp; Summary'!Y26)</f>
        <v>#REF!</v>
      </c>
      <c r="AC28" s="36" t="e">
        <f ca="1">IF($P28="","",IF(RIGHT(Category,2)="NY",'Inputs &amp; Summary'!AH26,SUM('Inputs &amp; Summary'!AB26,'Inputs &amp; Summary'!AE26*('Inputs &amp; Summary'!AD26="Yes"),'Inputs &amp; Summary'!AG26)))</f>
        <v>#REF!</v>
      </c>
      <c r="AD28" s="40" t="e">
        <f ca="1">IF($P28="","",'Inputs &amp; Summary'!AI26)</f>
        <v>#REF!</v>
      </c>
      <c r="AE28" s="36" t="e">
        <f ca="1">IF($P28="","",'Inputs &amp; Summary'!Z26)</f>
        <v>#REF!</v>
      </c>
      <c r="AF28" s="36" t="e">
        <f ca="1">IF($P28="","",'Inputs &amp; Summary'!U26)</f>
        <v>#REF!</v>
      </c>
      <c r="AG28" s="36" t="e">
        <f ca="1">IF($P28="","",'Inputs &amp; Summary'!V26)</f>
        <v>#REF!</v>
      </c>
      <c r="AH28" s="36" t="e">
        <f ca="1">IF($P28="","",'Inputs &amp; Summary'!W26)</f>
        <v>#REF!</v>
      </c>
      <c r="AI28" s="36" t="e">
        <f ca="1">IF($P28="","",IF($AI$11="",0,'Inputs &amp; Summary'!AM26))</f>
        <v>#REF!</v>
      </c>
      <c r="AJ28" s="36" t="e">
        <f ca="1">IF($P28="","",IF($AJ$11="",0,IF(PTab="P7",'Inputs &amp; Summary'!AQ26,'Inputs &amp; Summary'!AA26)))</f>
        <v>#REF!</v>
      </c>
      <c r="AK28" s="37" t="e">
        <f ca="1">IF($P28="","",'Inputs &amp; Summary'!AJ26)</f>
        <v>#REF!</v>
      </c>
    </row>
    <row r="29" spans="2:37" x14ac:dyDescent="0.3">
      <c r="P29" s="38" t="e">
        <f ca="1">IF('Inputs &amp; Summary'!O27="","",IF('Inputs &amp; Summary'!O27=0,"At Issue",'Inputs &amp; Summary'!P27))</f>
        <v>#REF!</v>
      </c>
      <c r="Q29" s="30" t="e">
        <f ca="1">IF($P29="","",'Inputs &amp; Summary'!O27)</f>
        <v>#REF!</v>
      </c>
      <c r="R29" s="30" t="e">
        <f ca="1">IF($P29="","",'Inputs &amp; Summary'!Q27)</f>
        <v>#REF!</v>
      </c>
      <c r="S29" s="39" t="e" cm="1">
        <f t="array" aca="1" ref="S29" ca="1">IF($P29="","",IF(S$11="",0,IFERROR(INDEX(INDIRECT(S$6&amp;VLOOKUP(Summary,Ref!$Y$13:$AC$18,3,FALSE)),MATCH(IF($P29="At Issue",VLOOKUP(Summary,Ref!$Y$13:$AC$18,2,FALSE),$P29),INDIRECT(S$6&amp;VLOOKUP(Summary,Ref!$Y$13:$AC$18,4,FALSE)),0),VLOOKUP(S$10,Ref!$Y$61:$AA$63,2,FALSE)),0)))</f>
        <v>#REF!</v>
      </c>
      <c r="T29" s="39" t="e" cm="1">
        <f t="array" aca="1" ref="T29" ca="1">IF($P29="","",IF(T$11="",0,IFERROR(INDEX(INDIRECT(T$6&amp;VLOOKUP(Summary,Ref!$Y$13:$AC$18,3,FALSE)),MATCH(IF($P29="At Issue",VLOOKUP(Summary,Ref!$Y$13:$AC$18,2,FALSE),$P29),INDIRECT(T$6&amp;VLOOKUP(Summary,Ref!$Y$13:$AC$18,4,FALSE)),0),VLOOKUP(T$10,Ref!$Y$61:$AA$63,2,FALSE)),0)))</f>
        <v>#REF!</v>
      </c>
      <c r="U29" s="39" t="e" cm="1">
        <f t="array" aca="1" ref="U29" ca="1">IF($P29="","",IF(U$11="",0,IFERROR(INDEX(INDIRECT(U$6&amp;VLOOKUP(Summary,Ref!$Y$13:$AC$18,3,FALSE)),MATCH(IF($P29="At Issue",VLOOKUP(Summary,Ref!$Y$13:$AC$18,2,FALSE),$P29),INDIRECT(U$6&amp;VLOOKUP(Summary,Ref!$Y$13:$AC$18,4,FALSE)),0),VLOOKUP(U$10,Ref!$Y$61:$AA$63,2,FALSE)),0)))</f>
        <v>#REF!</v>
      </c>
      <c r="V29" s="39" t="e" cm="1">
        <f t="array" aca="1" ref="V29" ca="1">IF($P29="","",IF(V$11="",0,IFERROR(INDEX(INDIRECT(V$6&amp;VLOOKUP(Summary,Ref!$Y$13:$AC$18,3,FALSE)),MATCH(IF($P29="At Issue",VLOOKUP(Summary,Ref!$Y$13:$AC$18,2,FALSE),$P29),INDIRECT(V$6&amp;VLOOKUP(Summary,Ref!$Y$13:$AC$18,4,FALSE)),0),VLOOKUP(V$10,Ref!$Y$61:$AA$63,2,FALSE)),0)))</f>
        <v>#REF!</v>
      </c>
      <c r="W29" s="39" t="e" cm="1">
        <f t="array" aca="1" ref="W29" ca="1">IF($P29="","",IF(W$11="",0,IFERROR(INDEX(INDIRECT(W$6&amp;VLOOKUP(Summary,Ref!$Y$13:$AC$18,3,FALSE)),MATCH(IF($P29="At Issue",VLOOKUP(Summary,Ref!$Y$13:$AC$18,2,FALSE),$P29),INDIRECT(W$6&amp;VLOOKUP(Summary,Ref!$Y$13:$AC$18,4,FALSE)),0),VLOOKUP(W$10,Ref!$Y$61:$AA$63,2,FALSE)),0)))</f>
        <v>#REF!</v>
      </c>
      <c r="X29" s="32" t="e">
        <f ca="1">IF($P29="","",'Inputs &amp; Summary'!S27)</f>
        <v>#REF!</v>
      </c>
      <c r="Y29" s="40" t="e">
        <f ca="1">IF($P29="","",'Inputs &amp; Summary'!T27)</f>
        <v>#REF!</v>
      </c>
      <c r="Z29" s="41" t="e">
        <f ca="1">IF($P29="","",IF($Z$11="",0,'Inputs &amp; Summary'!X27))</f>
        <v>#REF!</v>
      </c>
      <c r="AA29" s="36" t="e">
        <f ca="1">IF($P29="","",IF($AA$11="",0,IF(AND(LivBen&lt;&gt;"None",RIGHT(Category,2)&lt;&gt;"NY"),'Inputs &amp; Summary'!AH27,"")))</f>
        <v>#REF!</v>
      </c>
      <c r="AB29" s="36" t="e">
        <f ca="1">IF($P29="","",'Inputs &amp; Summary'!Y27)</f>
        <v>#REF!</v>
      </c>
      <c r="AC29" s="36" t="e">
        <f ca="1">IF($P29="","",IF(RIGHT(Category,2)="NY",'Inputs &amp; Summary'!AH27,SUM('Inputs &amp; Summary'!AB27,'Inputs &amp; Summary'!AE27*('Inputs &amp; Summary'!AD27="Yes"),'Inputs &amp; Summary'!AG27)))</f>
        <v>#REF!</v>
      </c>
      <c r="AD29" s="40" t="e">
        <f ca="1">IF($P29="","",'Inputs &amp; Summary'!AI27)</f>
        <v>#REF!</v>
      </c>
      <c r="AE29" s="36" t="e">
        <f ca="1">IF($P29="","",'Inputs &amp; Summary'!Z27)</f>
        <v>#REF!</v>
      </c>
      <c r="AF29" s="36" t="e">
        <f ca="1">IF($P29="","",'Inputs &amp; Summary'!U27)</f>
        <v>#REF!</v>
      </c>
      <c r="AG29" s="36" t="e">
        <f ca="1">IF($P29="","",'Inputs &amp; Summary'!V27)</f>
        <v>#REF!</v>
      </c>
      <c r="AH29" s="36" t="e">
        <f ca="1">IF($P29="","",'Inputs &amp; Summary'!W27)</f>
        <v>#REF!</v>
      </c>
      <c r="AI29" s="36" t="e">
        <f ca="1">IF($P29="","",IF($AI$11="",0,'Inputs &amp; Summary'!AM27))</f>
        <v>#REF!</v>
      </c>
      <c r="AJ29" s="36" t="e">
        <f ca="1">IF($P29="","",IF($AJ$11="",0,IF(PTab="P7",'Inputs &amp; Summary'!AQ27,'Inputs &amp; Summary'!AA27)))</f>
        <v>#REF!</v>
      </c>
      <c r="AK29" s="37" t="e">
        <f ca="1">IF($P29="","",'Inputs &amp; Summary'!AJ27)</f>
        <v>#REF!</v>
      </c>
    </row>
    <row r="30" spans="2:37" x14ac:dyDescent="0.3">
      <c r="E30" s="504" t="str">
        <f>IF(SUM('Inputs &amp; Summary'!$E$109:$E$137)=1,"Selected Check-a-Box Distribution","")</f>
        <v>Selected Check-a-Box Distribution</v>
      </c>
      <c r="F30" s="504"/>
      <c r="G30" s="504"/>
      <c r="H30" s="504"/>
      <c r="I30" s="504"/>
      <c r="J30" s="504"/>
      <c r="K30" s="504"/>
      <c r="L30" s="504"/>
      <c r="P30" s="38" t="e">
        <f ca="1">IF('Inputs &amp; Summary'!O28="","",IF('Inputs &amp; Summary'!O28=0,"At Issue",'Inputs &amp; Summary'!P28))</f>
        <v>#REF!</v>
      </c>
      <c r="Q30" s="30" t="e">
        <f ca="1">IF($P30="","",'Inputs &amp; Summary'!O28)</f>
        <v>#REF!</v>
      </c>
      <c r="R30" s="30" t="e">
        <f ca="1">IF($P30="","",'Inputs &amp; Summary'!Q28)</f>
        <v>#REF!</v>
      </c>
      <c r="S30" s="39" t="e" cm="1">
        <f t="array" aca="1" ref="S30" ca="1">IF($P30="","",IF(S$11="",0,IFERROR(INDEX(INDIRECT(S$6&amp;VLOOKUP(Summary,Ref!$Y$13:$AC$18,3,FALSE)),MATCH(IF($P30="At Issue",VLOOKUP(Summary,Ref!$Y$13:$AC$18,2,FALSE),$P30),INDIRECT(S$6&amp;VLOOKUP(Summary,Ref!$Y$13:$AC$18,4,FALSE)),0),VLOOKUP(S$10,Ref!$Y$61:$AA$63,2,FALSE)),0)))</f>
        <v>#REF!</v>
      </c>
      <c r="T30" s="39" t="e" cm="1">
        <f t="array" aca="1" ref="T30" ca="1">IF($P30="","",IF(T$11="",0,IFERROR(INDEX(INDIRECT(T$6&amp;VLOOKUP(Summary,Ref!$Y$13:$AC$18,3,FALSE)),MATCH(IF($P30="At Issue",VLOOKUP(Summary,Ref!$Y$13:$AC$18,2,FALSE),$P30),INDIRECT(T$6&amp;VLOOKUP(Summary,Ref!$Y$13:$AC$18,4,FALSE)),0),VLOOKUP(T$10,Ref!$Y$61:$AA$63,2,FALSE)),0)))</f>
        <v>#REF!</v>
      </c>
      <c r="U30" s="39" t="e" cm="1">
        <f t="array" aca="1" ref="U30" ca="1">IF($P30="","",IF(U$11="",0,IFERROR(INDEX(INDIRECT(U$6&amp;VLOOKUP(Summary,Ref!$Y$13:$AC$18,3,FALSE)),MATCH(IF($P30="At Issue",VLOOKUP(Summary,Ref!$Y$13:$AC$18,2,FALSE),$P30),INDIRECT(U$6&amp;VLOOKUP(Summary,Ref!$Y$13:$AC$18,4,FALSE)),0),VLOOKUP(U$10,Ref!$Y$61:$AA$63,2,FALSE)),0)))</f>
        <v>#REF!</v>
      </c>
      <c r="V30" s="39" t="e" cm="1">
        <f t="array" aca="1" ref="V30" ca="1">IF($P30="","",IF(V$11="",0,IFERROR(INDEX(INDIRECT(V$6&amp;VLOOKUP(Summary,Ref!$Y$13:$AC$18,3,FALSE)),MATCH(IF($P30="At Issue",VLOOKUP(Summary,Ref!$Y$13:$AC$18,2,FALSE),$P30),INDIRECT(V$6&amp;VLOOKUP(Summary,Ref!$Y$13:$AC$18,4,FALSE)),0),VLOOKUP(V$10,Ref!$Y$61:$AA$63,2,FALSE)),0)))</f>
        <v>#REF!</v>
      </c>
      <c r="W30" s="39" t="e" cm="1">
        <f t="array" aca="1" ref="W30" ca="1">IF($P30="","",IF(W$11="",0,IFERROR(INDEX(INDIRECT(W$6&amp;VLOOKUP(Summary,Ref!$Y$13:$AC$18,3,FALSE)),MATCH(IF($P30="At Issue",VLOOKUP(Summary,Ref!$Y$13:$AC$18,2,FALSE),$P30),INDIRECT(W$6&amp;VLOOKUP(Summary,Ref!$Y$13:$AC$18,4,FALSE)),0),VLOOKUP(W$10,Ref!$Y$61:$AA$63,2,FALSE)),0)))</f>
        <v>#REF!</v>
      </c>
      <c r="X30" s="32" t="e">
        <f ca="1">IF($P30="","",'Inputs &amp; Summary'!S28)</f>
        <v>#REF!</v>
      </c>
      <c r="Y30" s="40" t="e">
        <f ca="1">IF($P30="","",'Inputs &amp; Summary'!T28)</f>
        <v>#REF!</v>
      </c>
      <c r="Z30" s="41" t="e">
        <f ca="1">IF($P30="","",IF($Z$11="",0,'Inputs &amp; Summary'!X28))</f>
        <v>#REF!</v>
      </c>
      <c r="AA30" s="36" t="e">
        <f ca="1">IF($P30="","",IF($AA$11="",0,IF(AND(LivBen&lt;&gt;"None",RIGHT(Category,2)&lt;&gt;"NY"),'Inputs &amp; Summary'!AH28,"")))</f>
        <v>#REF!</v>
      </c>
      <c r="AB30" s="36" t="e">
        <f ca="1">IF($P30="","",'Inputs &amp; Summary'!Y28)</f>
        <v>#REF!</v>
      </c>
      <c r="AC30" s="36" t="e">
        <f ca="1">IF($P30="","",IF(RIGHT(Category,2)="NY",'Inputs &amp; Summary'!AH28,SUM('Inputs &amp; Summary'!AB28,'Inputs &amp; Summary'!AE28*('Inputs &amp; Summary'!AD28="Yes"),'Inputs &amp; Summary'!AG28)))</f>
        <v>#REF!</v>
      </c>
      <c r="AD30" s="40" t="e">
        <f ca="1">IF($P30="","",'Inputs &amp; Summary'!AI28)</f>
        <v>#REF!</v>
      </c>
      <c r="AE30" s="36" t="e">
        <f ca="1">IF($P30="","",'Inputs &amp; Summary'!Z28)</f>
        <v>#REF!</v>
      </c>
      <c r="AF30" s="36" t="e">
        <f ca="1">IF($P30="","",'Inputs &amp; Summary'!U28)</f>
        <v>#REF!</v>
      </c>
      <c r="AG30" s="36" t="e">
        <f ca="1">IF($P30="","",'Inputs &amp; Summary'!V28)</f>
        <v>#REF!</v>
      </c>
      <c r="AH30" s="36" t="e">
        <f ca="1">IF($P30="","",'Inputs &amp; Summary'!W28)</f>
        <v>#REF!</v>
      </c>
      <c r="AI30" s="36" t="e">
        <f ca="1">IF($P30="","",IF($AI$11="",0,'Inputs &amp; Summary'!AM28))</f>
        <v>#REF!</v>
      </c>
      <c r="AJ30" s="36" t="e">
        <f ca="1">IF($P30="","",IF($AJ$11="",0,IF(PTab="P7",'Inputs &amp; Summary'!AQ28,'Inputs &amp; Summary'!AA28)))</f>
        <v>#REF!</v>
      </c>
      <c r="AK30" s="37" t="e">
        <f ca="1">IF($P30="","",'Inputs &amp; Summary'!AJ28)</f>
        <v>#REF!</v>
      </c>
    </row>
    <row r="31" spans="2:37" x14ac:dyDescent="0.3">
      <c r="P31" s="38" t="e">
        <f ca="1">IF('Inputs &amp; Summary'!O29="","",IF('Inputs &amp; Summary'!O29=0,"At Issue",'Inputs &amp; Summary'!P29))</f>
        <v>#REF!</v>
      </c>
      <c r="Q31" s="30" t="e">
        <f ca="1">IF($P31="","",'Inputs &amp; Summary'!O29)</f>
        <v>#REF!</v>
      </c>
      <c r="R31" s="30" t="e">
        <f ca="1">IF($P31="","",'Inputs &amp; Summary'!Q29)</f>
        <v>#REF!</v>
      </c>
      <c r="S31" s="39" t="e" cm="1">
        <f t="array" aca="1" ref="S31" ca="1">IF($P31="","",IF(S$11="",0,IFERROR(INDEX(INDIRECT(S$6&amp;VLOOKUP(Summary,Ref!$Y$13:$AC$18,3,FALSE)),MATCH(IF($P31="At Issue",VLOOKUP(Summary,Ref!$Y$13:$AC$18,2,FALSE),$P31),INDIRECT(S$6&amp;VLOOKUP(Summary,Ref!$Y$13:$AC$18,4,FALSE)),0),VLOOKUP(S$10,Ref!$Y$61:$AA$63,2,FALSE)),0)))</f>
        <v>#REF!</v>
      </c>
      <c r="T31" s="39" t="e" cm="1">
        <f t="array" aca="1" ref="T31" ca="1">IF($P31="","",IF(T$11="",0,IFERROR(INDEX(INDIRECT(T$6&amp;VLOOKUP(Summary,Ref!$Y$13:$AC$18,3,FALSE)),MATCH(IF($P31="At Issue",VLOOKUP(Summary,Ref!$Y$13:$AC$18,2,FALSE),$P31),INDIRECT(T$6&amp;VLOOKUP(Summary,Ref!$Y$13:$AC$18,4,FALSE)),0),VLOOKUP(T$10,Ref!$Y$61:$AA$63,2,FALSE)),0)))</f>
        <v>#REF!</v>
      </c>
      <c r="U31" s="39" t="e" cm="1">
        <f t="array" aca="1" ref="U31" ca="1">IF($P31="","",IF(U$11="",0,IFERROR(INDEX(INDIRECT(U$6&amp;VLOOKUP(Summary,Ref!$Y$13:$AC$18,3,FALSE)),MATCH(IF($P31="At Issue",VLOOKUP(Summary,Ref!$Y$13:$AC$18,2,FALSE),$P31),INDIRECT(U$6&amp;VLOOKUP(Summary,Ref!$Y$13:$AC$18,4,FALSE)),0),VLOOKUP(U$10,Ref!$Y$61:$AA$63,2,FALSE)),0)))</f>
        <v>#REF!</v>
      </c>
      <c r="V31" s="39" t="e" cm="1">
        <f t="array" aca="1" ref="V31" ca="1">IF($P31="","",IF(V$11="",0,IFERROR(INDEX(INDIRECT(V$6&amp;VLOOKUP(Summary,Ref!$Y$13:$AC$18,3,FALSE)),MATCH(IF($P31="At Issue",VLOOKUP(Summary,Ref!$Y$13:$AC$18,2,FALSE),$P31),INDIRECT(V$6&amp;VLOOKUP(Summary,Ref!$Y$13:$AC$18,4,FALSE)),0),VLOOKUP(V$10,Ref!$Y$61:$AA$63,2,FALSE)),0)))</f>
        <v>#REF!</v>
      </c>
      <c r="W31" s="39" t="e" cm="1">
        <f t="array" aca="1" ref="W31" ca="1">IF($P31="","",IF(W$11="",0,IFERROR(INDEX(INDIRECT(W$6&amp;VLOOKUP(Summary,Ref!$Y$13:$AC$18,3,FALSE)),MATCH(IF($P31="At Issue",VLOOKUP(Summary,Ref!$Y$13:$AC$18,2,FALSE),$P31),INDIRECT(W$6&amp;VLOOKUP(Summary,Ref!$Y$13:$AC$18,4,FALSE)),0),VLOOKUP(W$10,Ref!$Y$61:$AA$63,2,FALSE)),0)))</f>
        <v>#REF!</v>
      </c>
      <c r="X31" s="32" t="e">
        <f ca="1">IF($P31="","",'Inputs &amp; Summary'!S29)</f>
        <v>#REF!</v>
      </c>
      <c r="Y31" s="40" t="e">
        <f ca="1">IF($P31="","",'Inputs &amp; Summary'!T29)</f>
        <v>#REF!</v>
      </c>
      <c r="Z31" s="41" t="e">
        <f ca="1">IF($P31="","",IF($Z$11="",0,'Inputs &amp; Summary'!X29))</f>
        <v>#REF!</v>
      </c>
      <c r="AA31" s="36" t="e">
        <f ca="1">IF($P31="","",IF($AA$11="",0,IF(AND(LivBen&lt;&gt;"None",RIGHT(Category,2)&lt;&gt;"NY"),'Inputs &amp; Summary'!AH29,"")))</f>
        <v>#REF!</v>
      </c>
      <c r="AB31" s="36" t="e">
        <f ca="1">IF($P31="","",'Inputs &amp; Summary'!Y29)</f>
        <v>#REF!</v>
      </c>
      <c r="AC31" s="36" t="e">
        <f ca="1">IF($P31="","",IF(RIGHT(Category,2)="NY",'Inputs &amp; Summary'!AH29,SUM('Inputs &amp; Summary'!AB29,'Inputs &amp; Summary'!AE29*('Inputs &amp; Summary'!AD29="Yes"),'Inputs &amp; Summary'!AG29)))</f>
        <v>#REF!</v>
      </c>
      <c r="AD31" s="40" t="e">
        <f ca="1">IF($P31="","",'Inputs &amp; Summary'!AI29)</f>
        <v>#REF!</v>
      </c>
      <c r="AE31" s="36" t="e">
        <f ca="1">IF($P31="","",'Inputs &amp; Summary'!Z29)</f>
        <v>#REF!</v>
      </c>
      <c r="AF31" s="36" t="e">
        <f ca="1">IF($P31="","",'Inputs &amp; Summary'!U29)</f>
        <v>#REF!</v>
      </c>
      <c r="AG31" s="36" t="e">
        <f ca="1">IF($P31="","",'Inputs &amp; Summary'!V29)</f>
        <v>#REF!</v>
      </c>
      <c r="AH31" s="36" t="e">
        <f ca="1">IF($P31="","",'Inputs &amp; Summary'!W29)</f>
        <v>#REF!</v>
      </c>
      <c r="AI31" s="36" t="e">
        <f ca="1">IF($P31="","",IF($AI$11="",0,'Inputs &amp; Summary'!AM29))</f>
        <v>#REF!</v>
      </c>
      <c r="AJ31" s="36" t="e">
        <f ca="1">IF($P31="","",IF($AJ$11="",0,IF(PTab="P7",'Inputs &amp; Summary'!AQ29,'Inputs &amp; Summary'!AA29)))</f>
        <v>#REF!</v>
      </c>
      <c r="AK31" s="37" t="e">
        <f ca="1">IF($P31="","",'Inputs &amp; Summary'!AJ29)</f>
        <v>#REF!</v>
      </c>
    </row>
    <row r="32" spans="2:37" x14ac:dyDescent="0.3">
      <c r="P32" s="38" t="e">
        <f ca="1">IF('Inputs &amp; Summary'!O30="","",IF('Inputs &amp; Summary'!O30=0,"At Issue",'Inputs &amp; Summary'!P30))</f>
        <v>#REF!</v>
      </c>
      <c r="Q32" s="30" t="e">
        <f ca="1">IF($P32="","",'Inputs &amp; Summary'!O30)</f>
        <v>#REF!</v>
      </c>
      <c r="R32" s="30" t="e">
        <f ca="1">IF($P32="","",'Inputs &amp; Summary'!Q30)</f>
        <v>#REF!</v>
      </c>
      <c r="S32" s="39" t="e" cm="1">
        <f t="array" aca="1" ref="S32" ca="1">IF($P32="","",IF(S$11="",0,IFERROR(INDEX(INDIRECT(S$6&amp;VLOOKUP(Summary,Ref!$Y$13:$AC$18,3,FALSE)),MATCH(IF($P32="At Issue",VLOOKUP(Summary,Ref!$Y$13:$AC$18,2,FALSE),$P32),INDIRECT(S$6&amp;VLOOKUP(Summary,Ref!$Y$13:$AC$18,4,FALSE)),0),VLOOKUP(S$10,Ref!$Y$61:$AA$63,2,FALSE)),0)))</f>
        <v>#REF!</v>
      </c>
      <c r="T32" s="39" t="e" cm="1">
        <f t="array" aca="1" ref="T32" ca="1">IF($P32="","",IF(T$11="",0,IFERROR(INDEX(INDIRECT(T$6&amp;VLOOKUP(Summary,Ref!$Y$13:$AC$18,3,FALSE)),MATCH(IF($P32="At Issue",VLOOKUP(Summary,Ref!$Y$13:$AC$18,2,FALSE),$P32),INDIRECT(T$6&amp;VLOOKUP(Summary,Ref!$Y$13:$AC$18,4,FALSE)),0),VLOOKUP(T$10,Ref!$Y$61:$AA$63,2,FALSE)),0)))</f>
        <v>#REF!</v>
      </c>
      <c r="U32" s="39" t="e" cm="1">
        <f t="array" aca="1" ref="U32" ca="1">IF($P32="","",IF(U$11="",0,IFERROR(INDEX(INDIRECT(U$6&amp;VLOOKUP(Summary,Ref!$Y$13:$AC$18,3,FALSE)),MATCH(IF($P32="At Issue",VLOOKUP(Summary,Ref!$Y$13:$AC$18,2,FALSE),$P32),INDIRECT(U$6&amp;VLOOKUP(Summary,Ref!$Y$13:$AC$18,4,FALSE)),0),VLOOKUP(U$10,Ref!$Y$61:$AA$63,2,FALSE)),0)))</f>
        <v>#REF!</v>
      </c>
      <c r="V32" s="39" t="e" cm="1">
        <f t="array" aca="1" ref="V32" ca="1">IF($P32="","",IF(V$11="",0,IFERROR(INDEX(INDIRECT(V$6&amp;VLOOKUP(Summary,Ref!$Y$13:$AC$18,3,FALSE)),MATCH(IF($P32="At Issue",VLOOKUP(Summary,Ref!$Y$13:$AC$18,2,FALSE),$P32),INDIRECT(V$6&amp;VLOOKUP(Summary,Ref!$Y$13:$AC$18,4,FALSE)),0),VLOOKUP(V$10,Ref!$Y$61:$AA$63,2,FALSE)),0)))</f>
        <v>#REF!</v>
      </c>
      <c r="W32" s="39" t="e" cm="1">
        <f t="array" aca="1" ref="W32" ca="1">IF($P32="","",IF(W$11="",0,IFERROR(INDEX(INDIRECT(W$6&amp;VLOOKUP(Summary,Ref!$Y$13:$AC$18,3,FALSE)),MATCH(IF($P32="At Issue",VLOOKUP(Summary,Ref!$Y$13:$AC$18,2,FALSE),$P32),INDIRECT(W$6&amp;VLOOKUP(Summary,Ref!$Y$13:$AC$18,4,FALSE)),0),VLOOKUP(W$10,Ref!$Y$61:$AA$63,2,FALSE)),0)))</f>
        <v>#REF!</v>
      </c>
      <c r="X32" s="32" t="e">
        <f ca="1">IF($P32="","",'Inputs &amp; Summary'!S30)</f>
        <v>#REF!</v>
      </c>
      <c r="Y32" s="40" t="e">
        <f ca="1">IF($P32="","",'Inputs &amp; Summary'!T30)</f>
        <v>#REF!</v>
      </c>
      <c r="Z32" s="41" t="e">
        <f ca="1">IF($P32="","",IF($Z$11="",0,'Inputs &amp; Summary'!X30))</f>
        <v>#REF!</v>
      </c>
      <c r="AA32" s="36" t="e">
        <f ca="1">IF($P32="","",IF($AA$11="",0,IF(AND(LivBen&lt;&gt;"None",RIGHT(Category,2)&lt;&gt;"NY"),'Inputs &amp; Summary'!AH30,"")))</f>
        <v>#REF!</v>
      </c>
      <c r="AB32" s="36" t="e">
        <f ca="1">IF($P32="","",'Inputs &amp; Summary'!Y30)</f>
        <v>#REF!</v>
      </c>
      <c r="AC32" s="36" t="e">
        <f ca="1">IF($P32="","",IF(RIGHT(Category,2)="NY",'Inputs &amp; Summary'!AH30,SUM('Inputs &amp; Summary'!AB30,'Inputs &amp; Summary'!AE30*('Inputs &amp; Summary'!AD30="Yes"),'Inputs &amp; Summary'!AG30)))</f>
        <v>#REF!</v>
      </c>
      <c r="AD32" s="40" t="e">
        <f ca="1">IF($P32="","",'Inputs &amp; Summary'!AI30)</f>
        <v>#REF!</v>
      </c>
      <c r="AE32" s="36" t="e">
        <f ca="1">IF($P32="","",'Inputs &amp; Summary'!Z30)</f>
        <v>#REF!</v>
      </c>
      <c r="AF32" s="36" t="e">
        <f ca="1">IF($P32="","",'Inputs &amp; Summary'!U30)</f>
        <v>#REF!</v>
      </c>
      <c r="AG32" s="36" t="e">
        <f ca="1">IF($P32="","",'Inputs &amp; Summary'!V30)</f>
        <v>#REF!</v>
      </c>
      <c r="AH32" s="36" t="e">
        <f ca="1">IF($P32="","",'Inputs &amp; Summary'!W30)</f>
        <v>#REF!</v>
      </c>
      <c r="AI32" s="36" t="e">
        <f ca="1">IF($P32="","",IF($AI$11="",0,'Inputs &amp; Summary'!AM30))</f>
        <v>#REF!</v>
      </c>
      <c r="AJ32" s="36" t="e">
        <f ca="1">IF($P32="","",IF($AJ$11="",0,IF(PTab="P7",'Inputs &amp; Summary'!AQ30,'Inputs &amp; Summary'!AA30)))</f>
        <v>#REF!</v>
      </c>
      <c r="AK32" s="37" t="e">
        <f ca="1">IF($P32="","",'Inputs &amp; Summary'!AJ30)</f>
        <v>#REF!</v>
      </c>
    </row>
    <row r="33" spans="5:37" x14ac:dyDescent="0.3">
      <c r="E33" s="56" t="str" cm="1">
        <f t="array" ref="E33:E36">IF(SUM('Inputs &amp; Summary'!$E$109:$E$137)=1,_xlfn.ANCHORARRAY(E10),"")</f>
        <v>1-Year Fixed Rate, Fixed Account</v>
      </c>
      <c r="F33" s="57">
        <f>IF(AND(SUM('Inputs &amp; Summary'!$E$109:$E$137)=1,E33&lt;&gt;""),INDEX($L$10:$L$19,MATCH(E33,$E$10:$E$19,0),1),NA())</f>
        <v>0.1</v>
      </c>
      <c r="G33" s="58"/>
      <c r="H33" s="58"/>
      <c r="I33" s="58"/>
      <c r="J33" s="58"/>
      <c r="K33" s="58"/>
      <c r="L33" s="58"/>
      <c r="P33" s="38" t="e">
        <f ca="1">IF('Inputs &amp; Summary'!O31="","",IF('Inputs &amp; Summary'!O31=0,"At Issue",'Inputs &amp; Summary'!P31))</f>
        <v>#REF!</v>
      </c>
      <c r="Q33" s="30" t="e">
        <f ca="1">IF($P33="","",'Inputs &amp; Summary'!O31)</f>
        <v>#REF!</v>
      </c>
      <c r="R33" s="30" t="e">
        <f ca="1">IF($P33="","",'Inputs &amp; Summary'!Q31)</f>
        <v>#REF!</v>
      </c>
      <c r="S33" s="39" t="e" cm="1">
        <f t="array" aca="1" ref="S33" ca="1">IF($P33="","",IF(S$11="",0,IFERROR(INDEX(INDIRECT(S$6&amp;VLOOKUP(Summary,Ref!$Y$13:$AC$18,3,FALSE)),MATCH(IF($P33="At Issue",VLOOKUP(Summary,Ref!$Y$13:$AC$18,2,FALSE),$P33),INDIRECT(S$6&amp;VLOOKUP(Summary,Ref!$Y$13:$AC$18,4,FALSE)),0),VLOOKUP(S$10,Ref!$Y$61:$AA$63,2,FALSE)),0)))</f>
        <v>#REF!</v>
      </c>
      <c r="T33" s="39" t="e" cm="1">
        <f t="array" aca="1" ref="T33" ca="1">IF($P33="","",IF(T$11="",0,IFERROR(INDEX(INDIRECT(T$6&amp;VLOOKUP(Summary,Ref!$Y$13:$AC$18,3,FALSE)),MATCH(IF($P33="At Issue",VLOOKUP(Summary,Ref!$Y$13:$AC$18,2,FALSE),$P33),INDIRECT(T$6&amp;VLOOKUP(Summary,Ref!$Y$13:$AC$18,4,FALSE)),0),VLOOKUP(T$10,Ref!$Y$61:$AA$63,2,FALSE)),0)))</f>
        <v>#REF!</v>
      </c>
      <c r="U33" s="39" t="e" cm="1">
        <f t="array" aca="1" ref="U33" ca="1">IF($P33="","",IF(U$11="",0,IFERROR(INDEX(INDIRECT(U$6&amp;VLOOKUP(Summary,Ref!$Y$13:$AC$18,3,FALSE)),MATCH(IF($P33="At Issue",VLOOKUP(Summary,Ref!$Y$13:$AC$18,2,FALSE),$P33),INDIRECT(U$6&amp;VLOOKUP(Summary,Ref!$Y$13:$AC$18,4,FALSE)),0),VLOOKUP(U$10,Ref!$Y$61:$AA$63,2,FALSE)),0)))</f>
        <v>#REF!</v>
      </c>
      <c r="V33" s="39" t="e" cm="1">
        <f t="array" aca="1" ref="V33" ca="1">IF($P33="","",IF(V$11="",0,IFERROR(INDEX(INDIRECT(V$6&amp;VLOOKUP(Summary,Ref!$Y$13:$AC$18,3,FALSE)),MATCH(IF($P33="At Issue",VLOOKUP(Summary,Ref!$Y$13:$AC$18,2,FALSE),$P33),INDIRECT(V$6&amp;VLOOKUP(Summary,Ref!$Y$13:$AC$18,4,FALSE)),0),VLOOKUP(V$10,Ref!$Y$61:$AA$63,2,FALSE)),0)))</f>
        <v>#REF!</v>
      </c>
      <c r="W33" s="39" t="e" cm="1">
        <f t="array" aca="1" ref="W33" ca="1">IF($P33="","",IF(W$11="",0,IFERROR(INDEX(INDIRECT(W$6&amp;VLOOKUP(Summary,Ref!$Y$13:$AC$18,3,FALSE)),MATCH(IF($P33="At Issue",VLOOKUP(Summary,Ref!$Y$13:$AC$18,2,FALSE),$P33),INDIRECT(W$6&amp;VLOOKUP(Summary,Ref!$Y$13:$AC$18,4,FALSE)),0),VLOOKUP(W$10,Ref!$Y$61:$AA$63,2,FALSE)),0)))</f>
        <v>#REF!</v>
      </c>
      <c r="X33" s="32" t="e">
        <f ca="1">IF($P33="","",'Inputs &amp; Summary'!S31)</f>
        <v>#REF!</v>
      </c>
      <c r="Y33" s="40" t="e">
        <f ca="1">IF($P33="","",'Inputs &amp; Summary'!T31)</f>
        <v>#REF!</v>
      </c>
      <c r="Z33" s="41" t="e">
        <f ca="1">IF($P33="","",IF($Z$11="",0,'Inputs &amp; Summary'!X31))</f>
        <v>#REF!</v>
      </c>
      <c r="AA33" s="36" t="e">
        <f ca="1">IF($P33="","",IF($AA$11="",0,IF(AND(LivBen&lt;&gt;"None",RIGHT(Category,2)&lt;&gt;"NY"),'Inputs &amp; Summary'!AH31,"")))</f>
        <v>#REF!</v>
      </c>
      <c r="AB33" s="36" t="e">
        <f ca="1">IF($P33="","",'Inputs &amp; Summary'!Y31)</f>
        <v>#REF!</v>
      </c>
      <c r="AC33" s="36" t="e">
        <f ca="1">IF($P33="","",IF(RIGHT(Category,2)="NY",'Inputs &amp; Summary'!AH31,SUM('Inputs &amp; Summary'!AB31,'Inputs &amp; Summary'!AE31*('Inputs &amp; Summary'!AD31="Yes"),'Inputs &amp; Summary'!AG31)))</f>
        <v>#REF!</v>
      </c>
      <c r="AD33" s="40" t="e">
        <f ca="1">IF($P33="","",'Inputs &amp; Summary'!AI31)</f>
        <v>#REF!</v>
      </c>
      <c r="AE33" s="36" t="e">
        <f ca="1">IF($P33="","",'Inputs &amp; Summary'!Z31)</f>
        <v>#REF!</v>
      </c>
      <c r="AF33" s="36" t="e">
        <f ca="1">IF($P33="","",'Inputs &amp; Summary'!U31)</f>
        <v>#REF!</v>
      </c>
      <c r="AG33" s="36" t="e">
        <f ca="1">IF($P33="","",'Inputs &amp; Summary'!V31)</f>
        <v>#REF!</v>
      </c>
      <c r="AH33" s="36" t="e">
        <f ca="1">IF($P33="","",'Inputs &amp; Summary'!W31)</f>
        <v>#REF!</v>
      </c>
      <c r="AI33" s="36" t="e">
        <f ca="1">IF($P33="","",IF($AI$11="",0,'Inputs &amp; Summary'!AM31))</f>
        <v>#REF!</v>
      </c>
      <c r="AJ33" s="36" t="e">
        <f ca="1">IF($P33="","",IF($AJ$11="",0,IF(PTab="P7",'Inputs &amp; Summary'!AQ31,'Inputs &amp; Summary'!AA31)))</f>
        <v>#REF!</v>
      </c>
      <c r="AK33" s="37" t="e">
        <f ca="1">IF($P33="","",'Inputs &amp; Summary'!AJ31)</f>
        <v>#REF!</v>
      </c>
    </row>
    <row r="34" spans="5:37" x14ac:dyDescent="0.3">
      <c r="E34" s="56" t="str">
        <v>1-Year PTP with Secure Cap, S&amp;P 500</v>
      </c>
      <c r="F34" s="57">
        <f>IF(AND(SUM('Inputs &amp; Summary'!$E$109:$E$137)=1,E34&lt;&gt;""),INDEX($L$10:$L$19,MATCH(E34,$E$10:$E$19,0),1),NA())</f>
        <v>0.4</v>
      </c>
      <c r="G34" s="58"/>
      <c r="H34" s="58"/>
      <c r="I34" s="58"/>
      <c r="J34" s="58"/>
      <c r="K34" s="58"/>
      <c r="L34" s="58"/>
      <c r="P34" s="38" t="e">
        <f ca="1">IF('Inputs &amp; Summary'!O32="","",IF('Inputs &amp; Summary'!O32=0,"At Issue",'Inputs &amp; Summary'!P32))</f>
        <v>#REF!</v>
      </c>
      <c r="Q34" s="30" t="e">
        <f ca="1">IF($P34="","",'Inputs &amp; Summary'!O32)</f>
        <v>#REF!</v>
      </c>
      <c r="R34" s="30" t="e">
        <f ca="1">IF($P34="","",'Inputs &amp; Summary'!Q32)</f>
        <v>#REF!</v>
      </c>
      <c r="S34" s="39" t="e" cm="1">
        <f t="array" aca="1" ref="S34" ca="1">IF($P34="","",IF(S$11="",0,IFERROR(INDEX(INDIRECT(S$6&amp;VLOOKUP(Summary,Ref!$Y$13:$AC$18,3,FALSE)),MATCH(IF($P34="At Issue",VLOOKUP(Summary,Ref!$Y$13:$AC$18,2,FALSE),$P34),INDIRECT(S$6&amp;VLOOKUP(Summary,Ref!$Y$13:$AC$18,4,FALSE)),0),VLOOKUP(S$10,Ref!$Y$61:$AA$63,2,FALSE)),0)))</f>
        <v>#REF!</v>
      </c>
      <c r="T34" s="39" t="e" cm="1">
        <f t="array" aca="1" ref="T34" ca="1">IF($P34="","",IF(T$11="",0,IFERROR(INDEX(INDIRECT(T$6&amp;VLOOKUP(Summary,Ref!$Y$13:$AC$18,3,FALSE)),MATCH(IF($P34="At Issue",VLOOKUP(Summary,Ref!$Y$13:$AC$18,2,FALSE),$P34),INDIRECT(T$6&amp;VLOOKUP(Summary,Ref!$Y$13:$AC$18,4,FALSE)),0),VLOOKUP(T$10,Ref!$Y$61:$AA$63,2,FALSE)),0)))</f>
        <v>#REF!</v>
      </c>
      <c r="U34" s="39" t="e" cm="1">
        <f t="array" aca="1" ref="U34" ca="1">IF($P34="","",IF(U$11="",0,IFERROR(INDEX(INDIRECT(U$6&amp;VLOOKUP(Summary,Ref!$Y$13:$AC$18,3,FALSE)),MATCH(IF($P34="At Issue",VLOOKUP(Summary,Ref!$Y$13:$AC$18,2,FALSE),$P34),INDIRECT(U$6&amp;VLOOKUP(Summary,Ref!$Y$13:$AC$18,4,FALSE)),0),VLOOKUP(U$10,Ref!$Y$61:$AA$63,2,FALSE)),0)))</f>
        <v>#REF!</v>
      </c>
      <c r="V34" s="39" t="e" cm="1">
        <f t="array" aca="1" ref="V34" ca="1">IF($P34="","",IF(V$11="",0,IFERROR(INDEX(INDIRECT(V$6&amp;VLOOKUP(Summary,Ref!$Y$13:$AC$18,3,FALSE)),MATCH(IF($P34="At Issue",VLOOKUP(Summary,Ref!$Y$13:$AC$18,2,FALSE),$P34),INDIRECT(V$6&amp;VLOOKUP(Summary,Ref!$Y$13:$AC$18,4,FALSE)),0),VLOOKUP(V$10,Ref!$Y$61:$AA$63,2,FALSE)),0)))</f>
        <v>#REF!</v>
      </c>
      <c r="W34" s="39" t="e" cm="1">
        <f t="array" aca="1" ref="W34" ca="1">IF($P34="","",IF(W$11="",0,IFERROR(INDEX(INDIRECT(W$6&amp;VLOOKUP(Summary,Ref!$Y$13:$AC$18,3,FALSE)),MATCH(IF($P34="At Issue",VLOOKUP(Summary,Ref!$Y$13:$AC$18,2,FALSE),$P34),INDIRECT(W$6&amp;VLOOKUP(Summary,Ref!$Y$13:$AC$18,4,FALSE)),0),VLOOKUP(W$10,Ref!$Y$61:$AA$63,2,FALSE)),0)))</f>
        <v>#REF!</v>
      </c>
      <c r="X34" s="32" t="e">
        <f ca="1">IF($P34="","",'Inputs &amp; Summary'!S32)</f>
        <v>#REF!</v>
      </c>
      <c r="Y34" s="40" t="e">
        <f ca="1">IF($P34="","",'Inputs &amp; Summary'!T32)</f>
        <v>#REF!</v>
      </c>
      <c r="Z34" s="41" t="e">
        <f ca="1">IF($P34="","",IF($Z$11="",0,'Inputs &amp; Summary'!X32))</f>
        <v>#REF!</v>
      </c>
      <c r="AA34" s="36" t="e">
        <f ca="1">IF($P34="","",IF($AA$11="",0,IF(AND(LivBen&lt;&gt;"None",RIGHT(Category,2)&lt;&gt;"NY"),'Inputs &amp; Summary'!AH32,"")))</f>
        <v>#REF!</v>
      </c>
      <c r="AB34" s="36" t="e">
        <f ca="1">IF($P34="","",'Inputs &amp; Summary'!Y32)</f>
        <v>#REF!</v>
      </c>
      <c r="AC34" s="36" t="e">
        <f ca="1">IF($P34="","",IF(RIGHT(Category,2)="NY",'Inputs &amp; Summary'!AH32,SUM('Inputs &amp; Summary'!AB32,'Inputs &amp; Summary'!AE32*('Inputs &amp; Summary'!AD32="Yes"),'Inputs &amp; Summary'!AG32)))</f>
        <v>#REF!</v>
      </c>
      <c r="AD34" s="40" t="e">
        <f ca="1">IF($P34="","",'Inputs &amp; Summary'!AI32)</f>
        <v>#REF!</v>
      </c>
      <c r="AE34" s="36" t="e">
        <f ca="1">IF($P34="","",'Inputs &amp; Summary'!Z32)</f>
        <v>#REF!</v>
      </c>
      <c r="AF34" s="36" t="e">
        <f ca="1">IF($P34="","",'Inputs &amp; Summary'!U32)</f>
        <v>#REF!</v>
      </c>
      <c r="AG34" s="36" t="e">
        <f ca="1">IF($P34="","",'Inputs &amp; Summary'!V32)</f>
        <v>#REF!</v>
      </c>
      <c r="AH34" s="36" t="e">
        <f ca="1">IF($P34="","",'Inputs &amp; Summary'!W32)</f>
        <v>#REF!</v>
      </c>
      <c r="AI34" s="36" t="e">
        <f ca="1">IF($P34="","",IF($AI$11="",0,'Inputs &amp; Summary'!AM32))</f>
        <v>#REF!</v>
      </c>
      <c r="AJ34" s="36" t="e">
        <f ca="1">IF($P34="","",IF($AJ$11="",0,IF(PTab="P7",'Inputs &amp; Summary'!AQ32,'Inputs &amp; Summary'!AA32)))</f>
        <v>#REF!</v>
      </c>
      <c r="AK34" s="37" t="e">
        <f ca="1">IF($P34="","",'Inputs &amp; Summary'!AJ32)</f>
        <v>#REF!</v>
      </c>
    </row>
    <row r="35" spans="5:37" x14ac:dyDescent="0.3">
      <c r="E35" s="56" t="str">
        <v>1-Year PTP with Cap, PIMCO Global Optima</v>
      </c>
      <c r="F35" s="57">
        <f>IF(AND(SUM('Inputs &amp; Summary'!$E$109:$E$137)=1,E35&lt;&gt;""),INDEX($L$10:$L$19,MATCH(E35,$E$10:$E$19,0),1),NA())</f>
        <v>0.1</v>
      </c>
      <c r="G35" s="58"/>
      <c r="H35" s="58"/>
      <c r="I35" s="58"/>
      <c r="J35" s="58"/>
      <c r="K35" s="58"/>
      <c r="L35" s="58"/>
      <c r="P35" s="38" t="e">
        <f ca="1">IF('Inputs &amp; Summary'!O33="","",IF('Inputs &amp; Summary'!O33=0,"At Issue",'Inputs &amp; Summary'!P33))</f>
        <v>#REF!</v>
      </c>
      <c r="Q35" s="30" t="e">
        <f ca="1">IF($P35="","",'Inputs &amp; Summary'!O33)</f>
        <v>#REF!</v>
      </c>
      <c r="R35" s="30" t="e">
        <f ca="1">IF($P35="","",'Inputs &amp; Summary'!Q33)</f>
        <v>#REF!</v>
      </c>
      <c r="S35" s="39" t="e" cm="1">
        <f t="array" aca="1" ref="S35" ca="1">IF($P35="","",IF(S$11="",0,IFERROR(INDEX(INDIRECT(S$6&amp;VLOOKUP(Summary,Ref!$Y$13:$AC$18,3,FALSE)),MATCH(IF($P35="At Issue",VLOOKUP(Summary,Ref!$Y$13:$AC$18,2,FALSE),$P35),INDIRECT(S$6&amp;VLOOKUP(Summary,Ref!$Y$13:$AC$18,4,FALSE)),0),VLOOKUP(S$10,Ref!$Y$61:$AA$63,2,FALSE)),0)))</f>
        <v>#REF!</v>
      </c>
      <c r="T35" s="39" t="e" cm="1">
        <f t="array" aca="1" ref="T35" ca="1">IF($P35="","",IF(T$11="",0,IFERROR(INDEX(INDIRECT(T$6&amp;VLOOKUP(Summary,Ref!$Y$13:$AC$18,3,FALSE)),MATCH(IF($P35="At Issue",VLOOKUP(Summary,Ref!$Y$13:$AC$18,2,FALSE),$P35),INDIRECT(T$6&amp;VLOOKUP(Summary,Ref!$Y$13:$AC$18,4,FALSE)),0),VLOOKUP(T$10,Ref!$Y$61:$AA$63,2,FALSE)),0)))</f>
        <v>#REF!</v>
      </c>
      <c r="U35" s="39" t="e" cm="1">
        <f t="array" aca="1" ref="U35" ca="1">IF($P35="","",IF(U$11="",0,IFERROR(INDEX(INDIRECT(U$6&amp;VLOOKUP(Summary,Ref!$Y$13:$AC$18,3,FALSE)),MATCH(IF($P35="At Issue",VLOOKUP(Summary,Ref!$Y$13:$AC$18,2,FALSE),$P35),INDIRECT(U$6&amp;VLOOKUP(Summary,Ref!$Y$13:$AC$18,4,FALSE)),0),VLOOKUP(U$10,Ref!$Y$61:$AA$63,2,FALSE)),0)))</f>
        <v>#REF!</v>
      </c>
      <c r="V35" s="39" t="e" cm="1">
        <f t="array" aca="1" ref="V35" ca="1">IF($P35="","",IF(V$11="",0,IFERROR(INDEX(INDIRECT(V$6&amp;VLOOKUP(Summary,Ref!$Y$13:$AC$18,3,FALSE)),MATCH(IF($P35="At Issue",VLOOKUP(Summary,Ref!$Y$13:$AC$18,2,FALSE),$P35),INDIRECT(V$6&amp;VLOOKUP(Summary,Ref!$Y$13:$AC$18,4,FALSE)),0),VLOOKUP(V$10,Ref!$Y$61:$AA$63,2,FALSE)),0)))</f>
        <v>#REF!</v>
      </c>
      <c r="W35" s="39" t="e" cm="1">
        <f t="array" aca="1" ref="W35" ca="1">IF($P35="","",IF(W$11="",0,IFERROR(INDEX(INDIRECT(W$6&amp;VLOOKUP(Summary,Ref!$Y$13:$AC$18,3,FALSE)),MATCH(IF($P35="At Issue",VLOOKUP(Summary,Ref!$Y$13:$AC$18,2,FALSE),$P35),INDIRECT(W$6&amp;VLOOKUP(Summary,Ref!$Y$13:$AC$18,4,FALSE)),0),VLOOKUP(W$10,Ref!$Y$61:$AA$63,2,FALSE)),0)))</f>
        <v>#REF!</v>
      </c>
      <c r="X35" s="32" t="e">
        <f ca="1">IF($P35="","",'Inputs &amp; Summary'!S33)</f>
        <v>#REF!</v>
      </c>
      <c r="Y35" s="40" t="e">
        <f ca="1">IF($P35="","",'Inputs &amp; Summary'!T33)</f>
        <v>#REF!</v>
      </c>
      <c r="Z35" s="41" t="e">
        <f ca="1">IF($P35="","",IF($Z$11="",0,'Inputs &amp; Summary'!X33))</f>
        <v>#REF!</v>
      </c>
      <c r="AA35" s="36" t="e">
        <f ca="1">IF($P35="","",IF($AA$11="",0,IF(AND(LivBen&lt;&gt;"None",RIGHT(Category,2)&lt;&gt;"NY"),'Inputs &amp; Summary'!AH33,"")))</f>
        <v>#REF!</v>
      </c>
      <c r="AB35" s="36" t="e">
        <f ca="1">IF($P35="","",'Inputs &amp; Summary'!Y33)</f>
        <v>#REF!</v>
      </c>
      <c r="AC35" s="36" t="e">
        <f ca="1">IF($P35="","",IF(RIGHT(Category,2)="NY",'Inputs &amp; Summary'!AH33,SUM('Inputs &amp; Summary'!AB33,'Inputs &amp; Summary'!AE33*('Inputs &amp; Summary'!AD33="Yes"),'Inputs &amp; Summary'!AG33)))</f>
        <v>#REF!</v>
      </c>
      <c r="AD35" s="40" t="e">
        <f ca="1">IF($P35="","",'Inputs &amp; Summary'!AI33)</f>
        <v>#REF!</v>
      </c>
      <c r="AE35" s="36" t="e">
        <f ca="1">IF($P35="","",'Inputs &amp; Summary'!Z33)</f>
        <v>#REF!</v>
      </c>
      <c r="AF35" s="36" t="e">
        <f ca="1">IF($P35="","",'Inputs &amp; Summary'!U33)</f>
        <v>#REF!</v>
      </c>
      <c r="AG35" s="36" t="e">
        <f ca="1">IF($P35="","",'Inputs &amp; Summary'!V33)</f>
        <v>#REF!</v>
      </c>
      <c r="AH35" s="36" t="e">
        <f ca="1">IF($P35="","",'Inputs &amp; Summary'!W33)</f>
        <v>#REF!</v>
      </c>
      <c r="AI35" s="36" t="e">
        <f ca="1">IF($P35="","",IF($AI$11="",0,'Inputs &amp; Summary'!AM33))</f>
        <v>#REF!</v>
      </c>
      <c r="AJ35" s="36" t="e">
        <f ca="1">IF($P35="","",IF($AJ$11="",0,IF(PTab="P7",'Inputs &amp; Summary'!AQ33,'Inputs &amp; Summary'!AA33)))</f>
        <v>#REF!</v>
      </c>
      <c r="AK35" s="37" t="e">
        <f ca="1">IF($P35="","",'Inputs &amp; Summary'!AJ33)</f>
        <v>#REF!</v>
      </c>
    </row>
    <row r="36" spans="5:37" x14ac:dyDescent="0.3">
      <c r="E36" s="56" t="str">
        <v>1-Year PTP with ParRate, MLSB</v>
      </c>
      <c r="F36" s="57">
        <f>IF(AND(SUM('Inputs &amp; Summary'!$E$109:$E$137)=1,E36&lt;&gt;""),INDEX($L$10:$L$19,MATCH(E36,$E$10:$E$19,0),1),NA())</f>
        <v>0.4</v>
      </c>
      <c r="G36" s="58"/>
      <c r="H36" s="58"/>
      <c r="I36" s="58"/>
      <c r="J36" s="58"/>
      <c r="K36" s="58"/>
      <c r="L36" s="58"/>
      <c r="P36" s="38" t="str">
        <f>IF('Inputs &amp; Summary'!O34="","",IF('Inputs &amp; Summary'!O34=0,"At Issue",'Inputs &amp; Summary'!P34))</f>
        <v/>
      </c>
      <c r="Q36" s="30" t="str">
        <f>IF($P36="","",'Inputs &amp; Summary'!O34)</f>
        <v/>
      </c>
      <c r="R36" s="30" t="str">
        <f>IF($P36="","",'Inputs &amp; Summary'!Q34)</f>
        <v/>
      </c>
      <c r="S36" s="39" t="str" cm="1">
        <f t="array" aca="1" ref="S36" ca="1">IF($P36="","",IF(S$11="",0,IFERROR(INDEX(INDIRECT(S$6&amp;VLOOKUP(Summary,Ref!$Y$13:$AC$18,3,FALSE)),MATCH(IF($P36="At Issue",VLOOKUP(Summary,Ref!$Y$13:$AC$18,2,FALSE),$P36),INDIRECT(S$6&amp;VLOOKUP(Summary,Ref!$Y$13:$AC$18,4,FALSE)),0),VLOOKUP(S$10,Ref!$Y$61:$AA$63,2,FALSE)),0)))</f>
        <v/>
      </c>
      <c r="T36" s="39" t="str" cm="1">
        <f t="array" aca="1" ref="T36" ca="1">IF($P36="","",IF(T$11="",0,IFERROR(INDEX(INDIRECT(T$6&amp;VLOOKUP(Summary,Ref!$Y$13:$AC$18,3,FALSE)),MATCH(IF($P36="At Issue",VLOOKUP(Summary,Ref!$Y$13:$AC$18,2,FALSE),$P36),INDIRECT(T$6&amp;VLOOKUP(Summary,Ref!$Y$13:$AC$18,4,FALSE)),0),VLOOKUP(T$10,Ref!$Y$61:$AA$63,2,FALSE)),0)))</f>
        <v/>
      </c>
      <c r="U36" s="39" t="str" cm="1">
        <f t="array" aca="1" ref="U36" ca="1">IF($P36="","",IF(U$11="",0,IFERROR(INDEX(INDIRECT(U$6&amp;VLOOKUP(Summary,Ref!$Y$13:$AC$18,3,FALSE)),MATCH(IF($P36="At Issue",VLOOKUP(Summary,Ref!$Y$13:$AC$18,2,FALSE),$P36),INDIRECT(U$6&amp;VLOOKUP(Summary,Ref!$Y$13:$AC$18,4,FALSE)),0),VLOOKUP(U$10,Ref!$Y$61:$AA$63,2,FALSE)),0)))</f>
        <v/>
      </c>
      <c r="V36" s="39" t="str" cm="1">
        <f t="array" aca="1" ref="V36" ca="1">IF($P36="","",IF(V$11="",0,IFERROR(INDEX(INDIRECT(V$6&amp;VLOOKUP(Summary,Ref!$Y$13:$AC$18,3,FALSE)),MATCH(IF($P36="At Issue",VLOOKUP(Summary,Ref!$Y$13:$AC$18,2,FALSE),$P36),INDIRECT(V$6&amp;VLOOKUP(Summary,Ref!$Y$13:$AC$18,4,FALSE)),0),VLOOKUP(V$10,Ref!$Y$61:$AA$63,2,FALSE)),0)))</f>
        <v/>
      </c>
      <c r="W36" s="39" t="str" cm="1">
        <f t="array" aca="1" ref="W36" ca="1">IF($P36="","",IF(W$11="",0,IFERROR(INDEX(INDIRECT(W$6&amp;VLOOKUP(Summary,Ref!$Y$13:$AC$18,3,FALSE)),MATCH(IF($P36="At Issue",VLOOKUP(Summary,Ref!$Y$13:$AC$18,2,FALSE),$P36),INDIRECT(W$6&amp;VLOOKUP(Summary,Ref!$Y$13:$AC$18,4,FALSE)),0),VLOOKUP(W$10,Ref!$Y$61:$AA$63,2,FALSE)),0)))</f>
        <v/>
      </c>
      <c r="X36" s="32" t="str">
        <f>IF($P36="","",'Inputs &amp; Summary'!S34)</f>
        <v/>
      </c>
      <c r="Y36" s="40" t="str">
        <f>IF($P36="","",'Inputs &amp; Summary'!T34)</f>
        <v/>
      </c>
      <c r="Z36" s="41" t="str">
        <f>IF($P36="","",IF($Z$11="",0,'Inputs &amp; Summary'!X34))</f>
        <v/>
      </c>
      <c r="AA36" s="36" t="str">
        <f>IF($P36="","",IF($AA$11="",0,IF(AND(LivBen&lt;&gt;"None",RIGHT(Category,2)&lt;&gt;"NY"),'Inputs &amp; Summary'!AH34,"")))</f>
        <v/>
      </c>
      <c r="AB36" s="36" t="str">
        <f>IF($P36="","",'Inputs &amp; Summary'!Y34)</f>
        <v/>
      </c>
      <c r="AC36" s="36" t="str">
        <f>IF($P36="","",IF(RIGHT(Category,2)="NY",'Inputs &amp; Summary'!AH34,SUM('Inputs &amp; Summary'!AB34,'Inputs &amp; Summary'!AE34*('Inputs &amp; Summary'!AD34="Yes"),'Inputs &amp; Summary'!AG34)))</f>
        <v/>
      </c>
      <c r="AD36" s="40" t="str">
        <f>IF($P36="","",'Inputs &amp; Summary'!AI34)</f>
        <v/>
      </c>
      <c r="AE36" s="36" t="str">
        <f>IF($P36="","",'Inputs &amp; Summary'!Z34)</f>
        <v/>
      </c>
      <c r="AF36" s="36" t="str">
        <f>IF($P36="","",'Inputs &amp; Summary'!U34)</f>
        <v/>
      </c>
      <c r="AG36" s="36" t="str">
        <f>IF($P36="","",'Inputs &amp; Summary'!V34)</f>
        <v/>
      </c>
      <c r="AH36" s="36" t="str">
        <f>IF($P36="","",'Inputs &amp; Summary'!W34)</f>
        <v/>
      </c>
      <c r="AI36" s="36" t="str">
        <f>IF($P36="","",IF($AI$11="",0,'Inputs &amp; Summary'!AM34))</f>
        <v/>
      </c>
      <c r="AJ36" s="36" t="str">
        <f>IF($P36="","",IF($AJ$11="",0,IF(PTab="P7",'Inputs &amp; Summary'!AQ34,'Inputs &amp; Summary'!AA34)))</f>
        <v/>
      </c>
      <c r="AK36" s="37" t="str">
        <f>IF($P36="","",'Inputs &amp; Summary'!AJ34)</f>
        <v/>
      </c>
    </row>
    <row r="37" spans="5:37" x14ac:dyDescent="0.3">
      <c r="E37" s="56"/>
      <c r="F37" s="57" t="e">
        <f>IF(AND(SUM('Inputs &amp; Summary'!$E$109:$E$137)=1,E37&lt;&gt;""),INDEX($L$10:$L$19,MATCH(E37,$E$10:$E$19,0),1),NA())</f>
        <v>#N/A</v>
      </c>
      <c r="G37" s="58"/>
      <c r="H37" s="58"/>
      <c r="I37" s="58"/>
      <c r="J37" s="58"/>
      <c r="K37" s="58"/>
      <c r="L37" s="58"/>
      <c r="P37" s="38" t="str">
        <f>IF('Inputs &amp; Summary'!O35="","",IF('Inputs &amp; Summary'!O35=0,"At Issue",'Inputs &amp; Summary'!P35))</f>
        <v/>
      </c>
      <c r="Q37" s="30" t="str">
        <f>IF($P37="","",'Inputs &amp; Summary'!O35)</f>
        <v/>
      </c>
      <c r="R37" s="30" t="str">
        <f>IF($P37="","",'Inputs &amp; Summary'!Q35)</f>
        <v/>
      </c>
      <c r="S37" s="39" t="str" cm="1">
        <f t="array" aca="1" ref="S37" ca="1">IF($P37="","",IF(S$11="",0,IFERROR(INDEX(INDIRECT(S$6&amp;VLOOKUP(Summary,Ref!$Y$13:$AC$18,3,FALSE)),MATCH(IF($P37="At Issue",VLOOKUP(Summary,Ref!$Y$13:$AC$18,2,FALSE),$P37),INDIRECT(S$6&amp;VLOOKUP(Summary,Ref!$Y$13:$AC$18,4,FALSE)),0),VLOOKUP(S$10,Ref!$Y$61:$AA$63,2,FALSE)),0)))</f>
        <v/>
      </c>
      <c r="T37" s="39" t="str" cm="1">
        <f t="array" aca="1" ref="T37" ca="1">IF($P37="","",IF(T$11="",0,IFERROR(INDEX(INDIRECT(T$6&amp;VLOOKUP(Summary,Ref!$Y$13:$AC$18,3,FALSE)),MATCH(IF($P37="At Issue",VLOOKUP(Summary,Ref!$Y$13:$AC$18,2,FALSE),$P37),INDIRECT(T$6&amp;VLOOKUP(Summary,Ref!$Y$13:$AC$18,4,FALSE)),0),VLOOKUP(T$10,Ref!$Y$61:$AA$63,2,FALSE)),0)))</f>
        <v/>
      </c>
      <c r="U37" s="39" t="str" cm="1">
        <f t="array" aca="1" ref="U37" ca="1">IF($P37="","",IF(U$11="",0,IFERROR(INDEX(INDIRECT(U$6&amp;VLOOKUP(Summary,Ref!$Y$13:$AC$18,3,FALSE)),MATCH(IF($P37="At Issue",VLOOKUP(Summary,Ref!$Y$13:$AC$18,2,FALSE),$P37),INDIRECT(U$6&amp;VLOOKUP(Summary,Ref!$Y$13:$AC$18,4,FALSE)),0),VLOOKUP(U$10,Ref!$Y$61:$AA$63,2,FALSE)),0)))</f>
        <v/>
      </c>
      <c r="V37" s="39" t="str" cm="1">
        <f t="array" aca="1" ref="V37" ca="1">IF($P37="","",IF(V$11="",0,IFERROR(INDEX(INDIRECT(V$6&amp;VLOOKUP(Summary,Ref!$Y$13:$AC$18,3,FALSE)),MATCH(IF($P37="At Issue",VLOOKUP(Summary,Ref!$Y$13:$AC$18,2,FALSE),$P37),INDIRECT(V$6&amp;VLOOKUP(Summary,Ref!$Y$13:$AC$18,4,FALSE)),0),VLOOKUP(V$10,Ref!$Y$61:$AA$63,2,FALSE)),0)))</f>
        <v/>
      </c>
      <c r="W37" s="39" t="str" cm="1">
        <f t="array" aca="1" ref="W37" ca="1">IF($P37="","",IF(W$11="",0,IFERROR(INDEX(INDIRECT(W$6&amp;VLOOKUP(Summary,Ref!$Y$13:$AC$18,3,FALSE)),MATCH(IF($P37="At Issue",VLOOKUP(Summary,Ref!$Y$13:$AC$18,2,FALSE),$P37),INDIRECT(W$6&amp;VLOOKUP(Summary,Ref!$Y$13:$AC$18,4,FALSE)),0),VLOOKUP(W$10,Ref!$Y$61:$AA$63,2,FALSE)),0)))</f>
        <v/>
      </c>
      <c r="X37" s="32" t="str">
        <f>IF($P37="","",'Inputs &amp; Summary'!S35)</f>
        <v/>
      </c>
      <c r="Y37" s="40" t="str">
        <f>IF($P37="","",'Inputs &amp; Summary'!T35)</f>
        <v/>
      </c>
      <c r="Z37" s="41" t="str">
        <f>IF($P37="","",IF($Z$11="",0,'Inputs &amp; Summary'!X35))</f>
        <v/>
      </c>
      <c r="AA37" s="36" t="str">
        <f>IF($P37="","",IF($AA$11="",0,IF(AND(LivBen&lt;&gt;"None",RIGHT(Category,2)&lt;&gt;"NY"),'Inputs &amp; Summary'!AH35,"")))</f>
        <v/>
      </c>
      <c r="AB37" s="36" t="str">
        <f>IF($P37="","",'Inputs &amp; Summary'!Y35)</f>
        <v/>
      </c>
      <c r="AC37" s="36" t="str">
        <f>IF($P37="","",IF(RIGHT(Category,2)="NY",'Inputs &amp; Summary'!AH35,SUM('Inputs &amp; Summary'!AB35,'Inputs &amp; Summary'!AE35*('Inputs &amp; Summary'!AD35="Yes"),'Inputs &amp; Summary'!AG35)))</f>
        <v/>
      </c>
      <c r="AD37" s="40" t="str">
        <f>IF($P37="","",'Inputs &amp; Summary'!AI35)</f>
        <v/>
      </c>
      <c r="AE37" s="36" t="str">
        <f>IF($P37="","",'Inputs &amp; Summary'!Z35)</f>
        <v/>
      </c>
      <c r="AF37" s="36" t="str">
        <f>IF($P37="","",'Inputs &amp; Summary'!U35)</f>
        <v/>
      </c>
      <c r="AG37" s="36" t="str">
        <f>IF($P37="","",'Inputs &amp; Summary'!V35)</f>
        <v/>
      </c>
      <c r="AH37" s="36" t="str">
        <f>IF($P37="","",'Inputs &amp; Summary'!W35)</f>
        <v/>
      </c>
      <c r="AI37" s="36" t="str">
        <f>IF($P37="","",IF($AI$11="",0,'Inputs &amp; Summary'!AM35))</f>
        <v/>
      </c>
      <c r="AJ37" s="36" t="str">
        <f>IF($P37="","",IF($AJ$11="",0,IF(PTab="P7",'Inputs &amp; Summary'!AQ35,'Inputs &amp; Summary'!AA35)))</f>
        <v/>
      </c>
      <c r="AK37" s="37" t="str">
        <f>IF($P37="","",'Inputs &amp; Summary'!AJ35)</f>
        <v/>
      </c>
    </row>
    <row r="38" spans="5:37" x14ac:dyDescent="0.3">
      <c r="E38" s="56"/>
      <c r="F38" s="57" t="e">
        <f>IF(AND(SUM('Inputs &amp; Summary'!$E$109:$E$137)=1,E38&lt;&gt;""),INDEX($L$10:$L$19,MATCH(E38,$E$10:$E$19,0),1),NA())</f>
        <v>#N/A</v>
      </c>
      <c r="G38" s="58"/>
      <c r="H38" s="58"/>
      <c r="I38" s="58"/>
      <c r="J38" s="58"/>
      <c r="K38" s="58"/>
      <c r="L38" s="58"/>
      <c r="P38" s="38" t="str">
        <f>IF('Inputs &amp; Summary'!O36="","",IF('Inputs &amp; Summary'!O36=0,"At Issue",'Inputs &amp; Summary'!P36))</f>
        <v/>
      </c>
      <c r="Q38" s="30" t="str">
        <f>IF($P38="","",'Inputs &amp; Summary'!O36)</f>
        <v/>
      </c>
      <c r="R38" s="30" t="str">
        <f>IF($P38="","",'Inputs &amp; Summary'!Q36)</f>
        <v/>
      </c>
      <c r="S38" s="39" t="str" cm="1">
        <f t="array" aca="1" ref="S38" ca="1">IF($P38="","",IF(S$11="",0,IFERROR(INDEX(INDIRECT(S$6&amp;VLOOKUP(Summary,Ref!$Y$13:$AC$18,3,FALSE)),MATCH(IF($P38="At Issue",VLOOKUP(Summary,Ref!$Y$13:$AC$18,2,FALSE),$P38),INDIRECT(S$6&amp;VLOOKUP(Summary,Ref!$Y$13:$AC$18,4,FALSE)),0),VLOOKUP(S$10,Ref!$Y$61:$AA$63,2,FALSE)),0)))</f>
        <v/>
      </c>
      <c r="T38" s="39" t="str" cm="1">
        <f t="array" aca="1" ref="T38" ca="1">IF($P38="","",IF(T$11="",0,IFERROR(INDEX(INDIRECT(T$6&amp;VLOOKUP(Summary,Ref!$Y$13:$AC$18,3,FALSE)),MATCH(IF($P38="At Issue",VLOOKUP(Summary,Ref!$Y$13:$AC$18,2,FALSE),$P38),INDIRECT(T$6&amp;VLOOKUP(Summary,Ref!$Y$13:$AC$18,4,FALSE)),0),VLOOKUP(T$10,Ref!$Y$61:$AA$63,2,FALSE)),0)))</f>
        <v/>
      </c>
      <c r="U38" s="39" t="str" cm="1">
        <f t="array" aca="1" ref="U38" ca="1">IF($P38="","",IF(U$11="",0,IFERROR(INDEX(INDIRECT(U$6&amp;VLOOKUP(Summary,Ref!$Y$13:$AC$18,3,FALSE)),MATCH(IF($P38="At Issue",VLOOKUP(Summary,Ref!$Y$13:$AC$18,2,FALSE),$P38),INDIRECT(U$6&amp;VLOOKUP(Summary,Ref!$Y$13:$AC$18,4,FALSE)),0),VLOOKUP(U$10,Ref!$Y$61:$AA$63,2,FALSE)),0)))</f>
        <v/>
      </c>
      <c r="V38" s="39" t="str" cm="1">
        <f t="array" aca="1" ref="V38" ca="1">IF($P38="","",IF(V$11="",0,IFERROR(INDEX(INDIRECT(V$6&amp;VLOOKUP(Summary,Ref!$Y$13:$AC$18,3,FALSE)),MATCH(IF($P38="At Issue",VLOOKUP(Summary,Ref!$Y$13:$AC$18,2,FALSE),$P38),INDIRECT(V$6&amp;VLOOKUP(Summary,Ref!$Y$13:$AC$18,4,FALSE)),0),VLOOKUP(V$10,Ref!$Y$61:$AA$63,2,FALSE)),0)))</f>
        <v/>
      </c>
      <c r="W38" s="39" t="str" cm="1">
        <f t="array" aca="1" ref="W38" ca="1">IF($P38="","",IF(W$11="",0,IFERROR(INDEX(INDIRECT(W$6&amp;VLOOKUP(Summary,Ref!$Y$13:$AC$18,3,FALSE)),MATCH(IF($P38="At Issue",VLOOKUP(Summary,Ref!$Y$13:$AC$18,2,FALSE),$P38),INDIRECT(W$6&amp;VLOOKUP(Summary,Ref!$Y$13:$AC$18,4,FALSE)),0),VLOOKUP(W$10,Ref!$Y$61:$AA$63,2,FALSE)),0)))</f>
        <v/>
      </c>
      <c r="X38" s="32" t="str">
        <f>IF($P38="","",'Inputs &amp; Summary'!S36)</f>
        <v/>
      </c>
      <c r="Y38" s="40" t="str">
        <f>IF($P38="","",'Inputs &amp; Summary'!T36)</f>
        <v/>
      </c>
      <c r="Z38" s="41" t="str">
        <f>IF($P38="","",IF($Z$11="",0,'Inputs &amp; Summary'!X36))</f>
        <v/>
      </c>
      <c r="AA38" s="36" t="str">
        <f>IF($P38="","",IF($AA$11="",0,IF(AND(LivBen&lt;&gt;"None",RIGHT(Category,2)&lt;&gt;"NY"),'Inputs &amp; Summary'!AH36,"")))</f>
        <v/>
      </c>
      <c r="AB38" s="36" t="str">
        <f>IF($P38="","",'Inputs &amp; Summary'!Y36)</f>
        <v/>
      </c>
      <c r="AC38" s="36" t="str">
        <f>IF($P38="","",IF(RIGHT(Category,2)="NY",'Inputs &amp; Summary'!AH36,SUM('Inputs &amp; Summary'!AB36,'Inputs &amp; Summary'!AE36*('Inputs &amp; Summary'!AD36="Yes"),'Inputs &amp; Summary'!AG36)))</f>
        <v/>
      </c>
      <c r="AD38" s="40" t="str">
        <f>IF($P38="","",'Inputs &amp; Summary'!AI36)</f>
        <v/>
      </c>
      <c r="AE38" s="36" t="str">
        <f>IF($P38="","",'Inputs &amp; Summary'!Z36)</f>
        <v/>
      </c>
      <c r="AF38" s="36" t="str">
        <f>IF($P38="","",'Inputs &amp; Summary'!U36)</f>
        <v/>
      </c>
      <c r="AG38" s="36" t="str">
        <f>IF($P38="","",'Inputs &amp; Summary'!V36)</f>
        <v/>
      </c>
      <c r="AH38" s="36" t="str">
        <f>IF($P38="","",'Inputs &amp; Summary'!W36)</f>
        <v/>
      </c>
      <c r="AI38" s="36" t="str">
        <f>IF($P38="","",IF($AI$11="",0,'Inputs &amp; Summary'!AM36))</f>
        <v/>
      </c>
      <c r="AJ38" s="36" t="str">
        <f>IF($P38="","",IF($AJ$11="",0,IF(PTab="P7",'Inputs &amp; Summary'!AQ36,'Inputs &amp; Summary'!AA36)))</f>
        <v/>
      </c>
      <c r="AK38" s="37" t="str">
        <f>IF($P38="","",'Inputs &amp; Summary'!AJ36)</f>
        <v/>
      </c>
    </row>
    <row r="39" spans="5:37" x14ac:dyDescent="0.3">
      <c r="E39" s="56"/>
      <c r="F39" s="57" t="e">
        <f>IF(AND(SUM('Inputs &amp; Summary'!$E$109:$E$137)=1,E39&lt;&gt;""),INDEX($L$10:$L$19,MATCH(E39,$E$10:$E$19,0),1),NA())</f>
        <v>#N/A</v>
      </c>
      <c r="G39" s="58"/>
      <c r="H39" s="58"/>
      <c r="I39" s="58"/>
      <c r="J39" s="58"/>
      <c r="K39" s="58"/>
      <c r="L39" s="58"/>
      <c r="P39" s="38" t="str">
        <f>IF('Inputs &amp; Summary'!O37="","",IF('Inputs &amp; Summary'!O37=0,"At Issue",'Inputs &amp; Summary'!P37))</f>
        <v/>
      </c>
      <c r="Q39" s="30" t="str">
        <f>IF($P39="","",'Inputs &amp; Summary'!O37)</f>
        <v/>
      </c>
      <c r="R39" s="30" t="str">
        <f>IF($P39="","",'Inputs &amp; Summary'!Q37)</f>
        <v/>
      </c>
      <c r="S39" s="39" t="str" cm="1">
        <f t="array" aca="1" ref="S39" ca="1">IF($P39="","",IF(S$11="",0,IFERROR(INDEX(INDIRECT(S$6&amp;VLOOKUP(Summary,Ref!$Y$13:$AC$18,3,FALSE)),MATCH(IF($P39="At Issue",VLOOKUP(Summary,Ref!$Y$13:$AC$18,2,FALSE),$P39),INDIRECT(S$6&amp;VLOOKUP(Summary,Ref!$Y$13:$AC$18,4,FALSE)),0),VLOOKUP(S$10,Ref!$Y$61:$AA$63,2,FALSE)),0)))</f>
        <v/>
      </c>
      <c r="T39" s="39" t="str" cm="1">
        <f t="array" aca="1" ref="T39" ca="1">IF($P39="","",IF(T$11="",0,IFERROR(INDEX(INDIRECT(T$6&amp;VLOOKUP(Summary,Ref!$Y$13:$AC$18,3,FALSE)),MATCH(IF($P39="At Issue",VLOOKUP(Summary,Ref!$Y$13:$AC$18,2,FALSE),$P39),INDIRECT(T$6&amp;VLOOKUP(Summary,Ref!$Y$13:$AC$18,4,FALSE)),0),VLOOKUP(T$10,Ref!$Y$61:$AA$63,2,FALSE)),0)))</f>
        <v/>
      </c>
      <c r="U39" s="39" t="str" cm="1">
        <f t="array" aca="1" ref="U39" ca="1">IF($P39="","",IF(U$11="",0,IFERROR(INDEX(INDIRECT(U$6&amp;VLOOKUP(Summary,Ref!$Y$13:$AC$18,3,FALSE)),MATCH(IF($P39="At Issue",VLOOKUP(Summary,Ref!$Y$13:$AC$18,2,FALSE),$P39),INDIRECT(U$6&amp;VLOOKUP(Summary,Ref!$Y$13:$AC$18,4,FALSE)),0),VLOOKUP(U$10,Ref!$Y$61:$AA$63,2,FALSE)),0)))</f>
        <v/>
      </c>
      <c r="V39" s="39" t="str" cm="1">
        <f t="array" aca="1" ref="V39" ca="1">IF($P39="","",IF(V$11="",0,IFERROR(INDEX(INDIRECT(V$6&amp;VLOOKUP(Summary,Ref!$Y$13:$AC$18,3,FALSE)),MATCH(IF($P39="At Issue",VLOOKUP(Summary,Ref!$Y$13:$AC$18,2,FALSE),$P39),INDIRECT(V$6&amp;VLOOKUP(Summary,Ref!$Y$13:$AC$18,4,FALSE)),0),VLOOKUP(V$10,Ref!$Y$61:$AA$63,2,FALSE)),0)))</f>
        <v/>
      </c>
      <c r="W39" s="39" t="str" cm="1">
        <f t="array" aca="1" ref="W39" ca="1">IF($P39="","",IF(W$11="",0,IFERROR(INDEX(INDIRECT(W$6&amp;VLOOKUP(Summary,Ref!$Y$13:$AC$18,3,FALSE)),MATCH(IF($P39="At Issue",VLOOKUP(Summary,Ref!$Y$13:$AC$18,2,FALSE),$P39),INDIRECT(W$6&amp;VLOOKUP(Summary,Ref!$Y$13:$AC$18,4,FALSE)),0),VLOOKUP(W$10,Ref!$Y$61:$AA$63,2,FALSE)),0)))</f>
        <v/>
      </c>
      <c r="X39" s="32" t="str">
        <f>IF($P39="","",'Inputs &amp; Summary'!S37)</f>
        <v/>
      </c>
      <c r="Y39" s="40" t="str">
        <f>IF($P39="","",'Inputs &amp; Summary'!T37)</f>
        <v/>
      </c>
      <c r="Z39" s="41" t="str">
        <f>IF($P39="","",IF($Z$11="",0,'Inputs &amp; Summary'!X37))</f>
        <v/>
      </c>
      <c r="AA39" s="36" t="str">
        <f>IF($P39="","",IF($AA$11="",0,IF(AND(LivBen&lt;&gt;"None",RIGHT(Category,2)&lt;&gt;"NY"),'Inputs &amp; Summary'!AH37,"")))</f>
        <v/>
      </c>
      <c r="AB39" s="36" t="str">
        <f>IF($P39="","",'Inputs &amp; Summary'!Y37)</f>
        <v/>
      </c>
      <c r="AC39" s="36" t="str">
        <f>IF($P39="","",IF(RIGHT(Category,2)="NY",'Inputs &amp; Summary'!AH37,SUM('Inputs &amp; Summary'!AB37,'Inputs &amp; Summary'!AE37*('Inputs &amp; Summary'!AD37="Yes"),'Inputs &amp; Summary'!AG37)))</f>
        <v/>
      </c>
      <c r="AD39" s="40" t="str">
        <f>IF($P39="","",'Inputs &amp; Summary'!AI37)</f>
        <v/>
      </c>
      <c r="AE39" s="36" t="str">
        <f>IF($P39="","",'Inputs &amp; Summary'!Z37)</f>
        <v/>
      </c>
      <c r="AF39" s="36" t="str">
        <f>IF($P39="","",'Inputs &amp; Summary'!U37)</f>
        <v/>
      </c>
      <c r="AG39" s="36" t="str">
        <f>IF($P39="","",'Inputs &amp; Summary'!V37)</f>
        <v/>
      </c>
      <c r="AH39" s="36" t="str">
        <f>IF($P39="","",'Inputs &amp; Summary'!W37)</f>
        <v/>
      </c>
      <c r="AI39" s="36" t="str">
        <f>IF($P39="","",IF($AI$11="",0,'Inputs &amp; Summary'!AM37))</f>
        <v/>
      </c>
      <c r="AJ39" s="36" t="str">
        <f>IF($P39="","",IF($AJ$11="",0,IF(PTab="P7",'Inputs &amp; Summary'!AQ37,'Inputs &amp; Summary'!AA37)))</f>
        <v/>
      </c>
      <c r="AK39" s="37" t="str">
        <f>IF($P39="","",'Inputs &amp; Summary'!AJ37)</f>
        <v/>
      </c>
    </row>
    <row r="40" spans="5:37" x14ac:dyDescent="0.3">
      <c r="E40" s="56"/>
      <c r="F40" s="57" t="e">
        <f>IF(AND(SUM('Inputs &amp; Summary'!$E$109:$E$137)=1,E40&lt;&gt;""),INDEX($L$10:$L$19,MATCH(E40,$E$10:$E$19,0),1),NA())</f>
        <v>#N/A</v>
      </c>
      <c r="G40" s="58"/>
      <c r="H40" s="58"/>
      <c r="I40" s="58"/>
      <c r="J40" s="58"/>
      <c r="K40" s="58"/>
      <c r="L40" s="58"/>
      <c r="P40" s="38" t="str">
        <f>IF('Inputs &amp; Summary'!O38="","",IF('Inputs &amp; Summary'!O38=0,"At Issue",'Inputs &amp; Summary'!P38))</f>
        <v/>
      </c>
      <c r="Q40" s="30" t="str">
        <f>IF($P40="","",'Inputs &amp; Summary'!O38)</f>
        <v/>
      </c>
      <c r="R40" s="30" t="str">
        <f>IF($P40="","",'Inputs &amp; Summary'!Q38)</f>
        <v/>
      </c>
      <c r="S40" s="39" t="str" cm="1">
        <f t="array" aca="1" ref="S40" ca="1">IF($P40="","",IF(S$11="",0,IFERROR(INDEX(INDIRECT(S$6&amp;VLOOKUP(Summary,Ref!$Y$13:$AC$18,3,FALSE)),MATCH(IF($P40="At Issue",VLOOKUP(Summary,Ref!$Y$13:$AC$18,2,FALSE),$P40),INDIRECT(S$6&amp;VLOOKUP(Summary,Ref!$Y$13:$AC$18,4,FALSE)),0),VLOOKUP(S$10,Ref!$Y$61:$AA$63,2,FALSE)),0)))</f>
        <v/>
      </c>
      <c r="T40" s="39" t="str" cm="1">
        <f t="array" aca="1" ref="T40" ca="1">IF($P40="","",IF(T$11="",0,IFERROR(INDEX(INDIRECT(T$6&amp;VLOOKUP(Summary,Ref!$Y$13:$AC$18,3,FALSE)),MATCH(IF($P40="At Issue",VLOOKUP(Summary,Ref!$Y$13:$AC$18,2,FALSE),$P40),INDIRECT(T$6&amp;VLOOKUP(Summary,Ref!$Y$13:$AC$18,4,FALSE)),0),VLOOKUP(T$10,Ref!$Y$61:$AA$63,2,FALSE)),0)))</f>
        <v/>
      </c>
      <c r="U40" s="39" t="str" cm="1">
        <f t="array" aca="1" ref="U40" ca="1">IF($P40="","",IF(U$11="",0,IFERROR(INDEX(INDIRECT(U$6&amp;VLOOKUP(Summary,Ref!$Y$13:$AC$18,3,FALSE)),MATCH(IF($P40="At Issue",VLOOKUP(Summary,Ref!$Y$13:$AC$18,2,FALSE),$P40),INDIRECT(U$6&amp;VLOOKUP(Summary,Ref!$Y$13:$AC$18,4,FALSE)),0),VLOOKUP(U$10,Ref!$Y$61:$AA$63,2,FALSE)),0)))</f>
        <v/>
      </c>
      <c r="V40" s="39" t="str" cm="1">
        <f t="array" aca="1" ref="V40" ca="1">IF($P40="","",IF(V$11="",0,IFERROR(INDEX(INDIRECT(V$6&amp;VLOOKUP(Summary,Ref!$Y$13:$AC$18,3,FALSE)),MATCH(IF($P40="At Issue",VLOOKUP(Summary,Ref!$Y$13:$AC$18,2,FALSE),$P40),INDIRECT(V$6&amp;VLOOKUP(Summary,Ref!$Y$13:$AC$18,4,FALSE)),0),VLOOKUP(V$10,Ref!$Y$61:$AA$63,2,FALSE)),0)))</f>
        <v/>
      </c>
      <c r="W40" s="39" t="str" cm="1">
        <f t="array" aca="1" ref="W40" ca="1">IF($P40="","",IF(W$11="",0,IFERROR(INDEX(INDIRECT(W$6&amp;VLOOKUP(Summary,Ref!$Y$13:$AC$18,3,FALSE)),MATCH(IF($P40="At Issue",VLOOKUP(Summary,Ref!$Y$13:$AC$18,2,FALSE),$P40),INDIRECT(W$6&amp;VLOOKUP(Summary,Ref!$Y$13:$AC$18,4,FALSE)),0),VLOOKUP(W$10,Ref!$Y$61:$AA$63,2,FALSE)),0)))</f>
        <v/>
      </c>
      <c r="X40" s="32" t="str">
        <f>IF($P40="","",'Inputs &amp; Summary'!S38)</f>
        <v/>
      </c>
      <c r="Y40" s="40" t="str">
        <f>IF($P40="","",'Inputs &amp; Summary'!T38)</f>
        <v/>
      </c>
      <c r="Z40" s="41" t="str">
        <f>IF($P40="","",IF($Z$11="",0,'Inputs &amp; Summary'!X38))</f>
        <v/>
      </c>
      <c r="AA40" s="36" t="str">
        <f>IF($P40="","",IF($AA$11="",0,IF(AND(LivBen&lt;&gt;"None",RIGHT(Category,2)&lt;&gt;"NY"),'Inputs &amp; Summary'!AH38,"")))</f>
        <v/>
      </c>
      <c r="AB40" s="36" t="str">
        <f>IF($P40="","",'Inputs &amp; Summary'!Y38)</f>
        <v/>
      </c>
      <c r="AC40" s="36" t="str">
        <f>IF($P40="","",IF(RIGHT(Category,2)="NY",'Inputs &amp; Summary'!AH38,SUM('Inputs &amp; Summary'!AB38,'Inputs &amp; Summary'!AE38*('Inputs &amp; Summary'!AD38="Yes"),'Inputs &amp; Summary'!AG38)))</f>
        <v/>
      </c>
      <c r="AD40" s="40" t="str">
        <f>IF($P40="","",'Inputs &amp; Summary'!AI38)</f>
        <v/>
      </c>
      <c r="AE40" s="36" t="str">
        <f>IF($P40="","",'Inputs &amp; Summary'!Z38)</f>
        <v/>
      </c>
      <c r="AF40" s="36" t="str">
        <f>IF($P40="","",'Inputs &amp; Summary'!U38)</f>
        <v/>
      </c>
      <c r="AG40" s="36" t="str">
        <f>IF($P40="","",'Inputs &amp; Summary'!V38)</f>
        <v/>
      </c>
      <c r="AH40" s="36" t="str">
        <f>IF($P40="","",'Inputs &amp; Summary'!W38)</f>
        <v/>
      </c>
      <c r="AI40" s="36" t="str">
        <f>IF($P40="","",IF($AI$11="",0,'Inputs &amp; Summary'!AM38))</f>
        <v/>
      </c>
      <c r="AJ40" s="36" t="str">
        <f>IF($P40="","",IF($AJ$11="",0,IF(PTab="P7",'Inputs &amp; Summary'!AQ38,'Inputs &amp; Summary'!AA38)))</f>
        <v/>
      </c>
      <c r="AK40" s="37" t="str">
        <f>IF($P40="","",'Inputs &amp; Summary'!AJ38)</f>
        <v/>
      </c>
    </row>
    <row r="41" spans="5:37" x14ac:dyDescent="0.3">
      <c r="E41" s="56"/>
      <c r="F41" s="57" t="e">
        <f>IF(AND(SUM('Inputs &amp; Summary'!$E$109:$E$137)=1,E41&lt;&gt;""),INDEX($L$10:$L$19,MATCH(E41,$E$10:$E$19,0),1),NA())</f>
        <v>#N/A</v>
      </c>
      <c r="G41" s="58"/>
      <c r="H41" s="58"/>
      <c r="I41" s="58"/>
      <c r="J41" s="58"/>
      <c r="K41" s="58"/>
      <c r="L41" s="58"/>
      <c r="P41" s="38" t="str">
        <f>IF('Inputs &amp; Summary'!O39="","",IF('Inputs &amp; Summary'!O39=0,"At Issue",'Inputs &amp; Summary'!P39))</f>
        <v/>
      </c>
      <c r="Q41" s="30" t="str">
        <f>IF($P41="","",'Inputs &amp; Summary'!O39)</f>
        <v/>
      </c>
      <c r="R41" s="30" t="str">
        <f>IF($P41="","",'Inputs &amp; Summary'!Q39)</f>
        <v/>
      </c>
      <c r="S41" s="39" t="str" cm="1">
        <f t="array" aca="1" ref="S41" ca="1">IF($P41="","",IF(S$11="",0,IFERROR(INDEX(INDIRECT(S$6&amp;VLOOKUP(Summary,Ref!$Y$13:$AC$18,3,FALSE)),MATCH(IF($P41="At Issue",VLOOKUP(Summary,Ref!$Y$13:$AC$18,2,FALSE),$P41),INDIRECT(S$6&amp;VLOOKUP(Summary,Ref!$Y$13:$AC$18,4,FALSE)),0),VLOOKUP(S$10,Ref!$Y$61:$AA$63,2,FALSE)),0)))</f>
        <v/>
      </c>
      <c r="T41" s="39" t="str" cm="1">
        <f t="array" aca="1" ref="T41" ca="1">IF($P41="","",IF(T$11="",0,IFERROR(INDEX(INDIRECT(T$6&amp;VLOOKUP(Summary,Ref!$Y$13:$AC$18,3,FALSE)),MATCH(IF($P41="At Issue",VLOOKUP(Summary,Ref!$Y$13:$AC$18,2,FALSE),$P41),INDIRECT(T$6&amp;VLOOKUP(Summary,Ref!$Y$13:$AC$18,4,FALSE)),0),VLOOKUP(T$10,Ref!$Y$61:$AA$63,2,FALSE)),0)))</f>
        <v/>
      </c>
      <c r="U41" s="39" t="str" cm="1">
        <f t="array" aca="1" ref="U41" ca="1">IF($P41="","",IF(U$11="",0,IFERROR(INDEX(INDIRECT(U$6&amp;VLOOKUP(Summary,Ref!$Y$13:$AC$18,3,FALSE)),MATCH(IF($P41="At Issue",VLOOKUP(Summary,Ref!$Y$13:$AC$18,2,FALSE),$P41),INDIRECT(U$6&amp;VLOOKUP(Summary,Ref!$Y$13:$AC$18,4,FALSE)),0),VLOOKUP(U$10,Ref!$Y$61:$AA$63,2,FALSE)),0)))</f>
        <v/>
      </c>
      <c r="V41" s="39" t="str" cm="1">
        <f t="array" aca="1" ref="V41" ca="1">IF($P41="","",IF(V$11="",0,IFERROR(INDEX(INDIRECT(V$6&amp;VLOOKUP(Summary,Ref!$Y$13:$AC$18,3,FALSE)),MATCH(IF($P41="At Issue",VLOOKUP(Summary,Ref!$Y$13:$AC$18,2,FALSE),$P41),INDIRECT(V$6&amp;VLOOKUP(Summary,Ref!$Y$13:$AC$18,4,FALSE)),0),VLOOKUP(V$10,Ref!$Y$61:$AA$63,2,FALSE)),0)))</f>
        <v/>
      </c>
      <c r="W41" s="39" t="str" cm="1">
        <f t="array" aca="1" ref="W41" ca="1">IF($P41="","",IF(W$11="",0,IFERROR(INDEX(INDIRECT(W$6&amp;VLOOKUP(Summary,Ref!$Y$13:$AC$18,3,FALSE)),MATCH(IF($P41="At Issue",VLOOKUP(Summary,Ref!$Y$13:$AC$18,2,FALSE),$P41),INDIRECT(W$6&amp;VLOOKUP(Summary,Ref!$Y$13:$AC$18,4,FALSE)),0),VLOOKUP(W$10,Ref!$Y$61:$AA$63,2,FALSE)),0)))</f>
        <v/>
      </c>
      <c r="X41" s="32" t="str">
        <f>IF($P41="","",'Inputs &amp; Summary'!S39)</f>
        <v/>
      </c>
      <c r="Y41" s="40" t="str">
        <f>IF($P41="","",'Inputs &amp; Summary'!T39)</f>
        <v/>
      </c>
      <c r="Z41" s="41" t="str">
        <f>IF($P41="","",IF($Z$11="",0,'Inputs &amp; Summary'!X39))</f>
        <v/>
      </c>
      <c r="AA41" s="36" t="str">
        <f>IF($P41="","",IF($AA$11="",0,IF(AND(LivBen&lt;&gt;"None",RIGHT(Category,2)&lt;&gt;"NY"),'Inputs &amp; Summary'!AH39,"")))</f>
        <v/>
      </c>
      <c r="AB41" s="36" t="str">
        <f>IF($P41="","",'Inputs &amp; Summary'!Y39)</f>
        <v/>
      </c>
      <c r="AC41" s="36" t="str">
        <f>IF($P41="","",IF(RIGHT(Category,2)="NY",'Inputs &amp; Summary'!AH39,SUM('Inputs &amp; Summary'!AB39,'Inputs &amp; Summary'!AE39*('Inputs &amp; Summary'!AD39="Yes"),'Inputs &amp; Summary'!AG39)))</f>
        <v/>
      </c>
      <c r="AD41" s="40" t="str">
        <f>IF($P41="","",'Inputs &amp; Summary'!AI39)</f>
        <v/>
      </c>
      <c r="AE41" s="36" t="str">
        <f>IF($P41="","",'Inputs &amp; Summary'!Z39)</f>
        <v/>
      </c>
      <c r="AF41" s="36" t="str">
        <f>IF($P41="","",'Inputs &amp; Summary'!U39)</f>
        <v/>
      </c>
      <c r="AG41" s="36" t="str">
        <f>IF($P41="","",'Inputs &amp; Summary'!V39)</f>
        <v/>
      </c>
      <c r="AH41" s="36" t="str">
        <f>IF($P41="","",'Inputs &amp; Summary'!W39)</f>
        <v/>
      </c>
      <c r="AI41" s="36" t="str">
        <f>IF($P41="","",IF($AI$11="",0,'Inputs &amp; Summary'!AM39))</f>
        <v/>
      </c>
      <c r="AJ41" s="36" t="str">
        <f>IF($P41="","",IF($AJ$11="",0,IF(PTab="P7",'Inputs &amp; Summary'!AQ39,'Inputs &amp; Summary'!AA39)))</f>
        <v/>
      </c>
      <c r="AK41" s="37" t="str">
        <f>IF($P41="","",'Inputs &amp; Summary'!AJ39)</f>
        <v/>
      </c>
    </row>
    <row r="42" spans="5:37" x14ac:dyDescent="0.3">
      <c r="E42" s="56"/>
      <c r="F42" s="57" t="e">
        <f>IF(AND(SUM('Inputs &amp; Summary'!$E$109:$E$137)=1,E42&lt;&gt;""),INDEX($L$10:$L$19,MATCH(E42,$E$10:$E$19,0),1),NA())</f>
        <v>#N/A</v>
      </c>
      <c r="G42" s="58"/>
      <c r="H42" s="58"/>
      <c r="I42" s="58"/>
      <c r="J42" s="58"/>
      <c r="K42" s="58"/>
      <c r="L42" s="58"/>
      <c r="P42" s="38" t="str">
        <f>IF('Inputs &amp; Summary'!O40="","",IF('Inputs &amp; Summary'!O40=0,"At Issue",'Inputs &amp; Summary'!P40))</f>
        <v/>
      </c>
      <c r="Q42" s="30" t="str">
        <f>IF($P42="","",'Inputs &amp; Summary'!O40)</f>
        <v/>
      </c>
      <c r="R42" s="30" t="str">
        <f>IF($P42="","",'Inputs &amp; Summary'!Q40)</f>
        <v/>
      </c>
      <c r="S42" s="39" t="str" cm="1">
        <f t="array" aca="1" ref="S42" ca="1">IF($P42="","",IF(S$11="",0,IFERROR(INDEX(INDIRECT(S$6&amp;VLOOKUP(Summary,Ref!$Y$13:$AC$18,3,FALSE)),MATCH(IF($P42="At Issue",VLOOKUP(Summary,Ref!$Y$13:$AC$18,2,FALSE),$P42),INDIRECT(S$6&amp;VLOOKUP(Summary,Ref!$Y$13:$AC$18,4,FALSE)),0),VLOOKUP(S$10,Ref!$Y$61:$AA$63,2,FALSE)),0)))</f>
        <v/>
      </c>
      <c r="T42" s="39" t="str" cm="1">
        <f t="array" aca="1" ref="T42" ca="1">IF($P42="","",IF(T$11="",0,IFERROR(INDEX(INDIRECT(T$6&amp;VLOOKUP(Summary,Ref!$Y$13:$AC$18,3,FALSE)),MATCH(IF($P42="At Issue",VLOOKUP(Summary,Ref!$Y$13:$AC$18,2,FALSE),$P42),INDIRECT(T$6&amp;VLOOKUP(Summary,Ref!$Y$13:$AC$18,4,FALSE)),0),VLOOKUP(T$10,Ref!$Y$61:$AA$63,2,FALSE)),0)))</f>
        <v/>
      </c>
      <c r="U42" s="39" t="str" cm="1">
        <f t="array" aca="1" ref="U42" ca="1">IF($P42="","",IF(U$11="",0,IFERROR(INDEX(INDIRECT(U$6&amp;VLOOKUP(Summary,Ref!$Y$13:$AC$18,3,FALSE)),MATCH(IF($P42="At Issue",VLOOKUP(Summary,Ref!$Y$13:$AC$18,2,FALSE),$P42),INDIRECT(U$6&amp;VLOOKUP(Summary,Ref!$Y$13:$AC$18,4,FALSE)),0),VLOOKUP(U$10,Ref!$Y$61:$AA$63,2,FALSE)),0)))</f>
        <v/>
      </c>
      <c r="V42" s="39" t="str" cm="1">
        <f t="array" aca="1" ref="V42" ca="1">IF($P42="","",IF(V$11="",0,IFERROR(INDEX(INDIRECT(V$6&amp;VLOOKUP(Summary,Ref!$Y$13:$AC$18,3,FALSE)),MATCH(IF($P42="At Issue",VLOOKUP(Summary,Ref!$Y$13:$AC$18,2,FALSE),$P42),INDIRECT(V$6&amp;VLOOKUP(Summary,Ref!$Y$13:$AC$18,4,FALSE)),0),VLOOKUP(V$10,Ref!$Y$61:$AA$63,2,FALSE)),0)))</f>
        <v/>
      </c>
      <c r="W42" s="39" t="str" cm="1">
        <f t="array" aca="1" ref="W42" ca="1">IF($P42="","",IF(W$11="",0,IFERROR(INDEX(INDIRECT(W$6&amp;VLOOKUP(Summary,Ref!$Y$13:$AC$18,3,FALSE)),MATCH(IF($P42="At Issue",VLOOKUP(Summary,Ref!$Y$13:$AC$18,2,FALSE),$P42),INDIRECT(W$6&amp;VLOOKUP(Summary,Ref!$Y$13:$AC$18,4,FALSE)),0),VLOOKUP(W$10,Ref!$Y$61:$AA$63,2,FALSE)),0)))</f>
        <v/>
      </c>
      <c r="X42" s="32" t="str">
        <f>IF($P42="","",'Inputs &amp; Summary'!S40)</f>
        <v/>
      </c>
      <c r="Y42" s="40" t="str">
        <f>IF($P42="","",'Inputs &amp; Summary'!T40)</f>
        <v/>
      </c>
      <c r="Z42" s="41" t="str">
        <f>IF($P42="","",IF($Z$11="",0,'Inputs &amp; Summary'!X40))</f>
        <v/>
      </c>
      <c r="AA42" s="36" t="str">
        <f>IF($P42="","",IF($AA$11="",0,IF(AND(LivBen&lt;&gt;"None",RIGHT(Category,2)&lt;&gt;"NY"),'Inputs &amp; Summary'!AH40,"")))</f>
        <v/>
      </c>
      <c r="AB42" s="36" t="str">
        <f>IF($P42="","",'Inputs &amp; Summary'!Y40)</f>
        <v/>
      </c>
      <c r="AC42" s="36" t="str">
        <f>IF($P42="","",IF(RIGHT(Category,2)="NY",'Inputs &amp; Summary'!AH40,SUM('Inputs &amp; Summary'!AB40,'Inputs &amp; Summary'!AE40*('Inputs &amp; Summary'!AD40="Yes"),'Inputs &amp; Summary'!AG40)))</f>
        <v/>
      </c>
      <c r="AD42" s="40" t="str">
        <f>IF($P42="","",'Inputs &amp; Summary'!AI40)</f>
        <v/>
      </c>
      <c r="AE42" s="36" t="str">
        <f>IF($P42="","",'Inputs &amp; Summary'!Z40)</f>
        <v/>
      </c>
      <c r="AF42" s="36" t="str">
        <f>IF($P42="","",'Inputs &amp; Summary'!U40)</f>
        <v/>
      </c>
      <c r="AG42" s="36" t="str">
        <f>IF($P42="","",'Inputs &amp; Summary'!V40)</f>
        <v/>
      </c>
      <c r="AH42" s="36" t="str">
        <f>IF($P42="","",'Inputs &amp; Summary'!W40)</f>
        <v/>
      </c>
      <c r="AI42" s="36" t="str">
        <f>IF($P42="","",IF($AI$11="",0,'Inputs &amp; Summary'!AM40))</f>
        <v/>
      </c>
      <c r="AJ42" s="36" t="str">
        <f>IF($P42="","",IF($AJ$11="",0,IF(PTab="P7",'Inputs &amp; Summary'!AQ40,'Inputs &amp; Summary'!AA40)))</f>
        <v/>
      </c>
      <c r="AK42" s="37" t="str">
        <f>IF($P42="","",'Inputs &amp; Summary'!AJ40)</f>
        <v/>
      </c>
    </row>
    <row r="43" spans="5:37" x14ac:dyDescent="0.3">
      <c r="P43" s="38" t="str">
        <f>IF('Inputs &amp; Summary'!O41="","",IF('Inputs &amp; Summary'!O41=0,"At Issue",'Inputs &amp; Summary'!P41))</f>
        <v/>
      </c>
      <c r="Q43" s="30" t="str">
        <f>IF($P43="","",'Inputs &amp; Summary'!O41)</f>
        <v/>
      </c>
      <c r="R43" s="30" t="str">
        <f>IF($P43="","",'Inputs &amp; Summary'!Q41)</f>
        <v/>
      </c>
      <c r="S43" s="39" t="str" cm="1">
        <f t="array" aca="1" ref="S43" ca="1">IF($P43="","",IF(S$11="",0,IFERROR(INDEX(INDIRECT(S$6&amp;VLOOKUP(Summary,Ref!$Y$13:$AC$18,3,FALSE)),MATCH(IF($P43="At Issue",VLOOKUP(Summary,Ref!$Y$13:$AC$18,2,FALSE),$P43),INDIRECT(S$6&amp;VLOOKUP(Summary,Ref!$Y$13:$AC$18,4,FALSE)),0),VLOOKUP(S$10,Ref!$Y$61:$AA$63,2,FALSE)),0)))</f>
        <v/>
      </c>
      <c r="T43" s="39" t="str" cm="1">
        <f t="array" aca="1" ref="T43" ca="1">IF($P43="","",IF(T$11="",0,IFERROR(INDEX(INDIRECT(T$6&amp;VLOOKUP(Summary,Ref!$Y$13:$AC$18,3,FALSE)),MATCH(IF($P43="At Issue",VLOOKUP(Summary,Ref!$Y$13:$AC$18,2,FALSE),$P43),INDIRECT(T$6&amp;VLOOKUP(Summary,Ref!$Y$13:$AC$18,4,FALSE)),0),VLOOKUP(T$10,Ref!$Y$61:$AA$63,2,FALSE)),0)))</f>
        <v/>
      </c>
      <c r="U43" s="39" t="str" cm="1">
        <f t="array" aca="1" ref="U43" ca="1">IF($P43="","",IF(U$11="",0,IFERROR(INDEX(INDIRECT(U$6&amp;VLOOKUP(Summary,Ref!$Y$13:$AC$18,3,FALSE)),MATCH(IF($P43="At Issue",VLOOKUP(Summary,Ref!$Y$13:$AC$18,2,FALSE),$P43),INDIRECT(U$6&amp;VLOOKUP(Summary,Ref!$Y$13:$AC$18,4,FALSE)),0),VLOOKUP(U$10,Ref!$Y$61:$AA$63,2,FALSE)),0)))</f>
        <v/>
      </c>
      <c r="V43" s="39" t="str" cm="1">
        <f t="array" aca="1" ref="V43" ca="1">IF($P43="","",IF(V$11="",0,IFERROR(INDEX(INDIRECT(V$6&amp;VLOOKUP(Summary,Ref!$Y$13:$AC$18,3,FALSE)),MATCH(IF($P43="At Issue",VLOOKUP(Summary,Ref!$Y$13:$AC$18,2,FALSE),$P43),INDIRECT(V$6&amp;VLOOKUP(Summary,Ref!$Y$13:$AC$18,4,FALSE)),0),VLOOKUP(V$10,Ref!$Y$61:$AA$63,2,FALSE)),0)))</f>
        <v/>
      </c>
      <c r="W43" s="39" t="str" cm="1">
        <f t="array" aca="1" ref="W43" ca="1">IF($P43="","",IF(W$11="",0,IFERROR(INDEX(INDIRECT(W$6&amp;VLOOKUP(Summary,Ref!$Y$13:$AC$18,3,FALSE)),MATCH(IF($P43="At Issue",VLOOKUP(Summary,Ref!$Y$13:$AC$18,2,FALSE),$P43),INDIRECT(W$6&amp;VLOOKUP(Summary,Ref!$Y$13:$AC$18,4,FALSE)),0),VLOOKUP(W$10,Ref!$Y$61:$AA$63,2,FALSE)),0)))</f>
        <v/>
      </c>
      <c r="X43" s="32" t="str">
        <f>IF($P43="","",'Inputs &amp; Summary'!S41)</f>
        <v/>
      </c>
      <c r="Y43" s="40" t="str">
        <f>IF($P43="","",'Inputs &amp; Summary'!T41)</f>
        <v/>
      </c>
      <c r="Z43" s="41" t="str">
        <f>IF($P43="","",IF($Z$11="",0,'Inputs &amp; Summary'!X41))</f>
        <v/>
      </c>
      <c r="AA43" s="36" t="str">
        <f>IF($P43="","",IF($AA$11="",0,IF(AND(LivBen&lt;&gt;"None",RIGHT(Category,2)&lt;&gt;"NY"),'Inputs &amp; Summary'!AH41,"")))</f>
        <v/>
      </c>
      <c r="AB43" s="36" t="str">
        <f>IF($P43="","",'Inputs &amp; Summary'!Y41)</f>
        <v/>
      </c>
      <c r="AC43" s="36" t="str">
        <f>IF($P43="","",IF(RIGHT(Category,2)="NY",'Inputs &amp; Summary'!AH41,SUM('Inputs &amp; Summary'!AB41,'Inputs &amp; Summary'!AE41*('Inputs &amp; Summary'!AD41="Yes"),'Inputs &amp; Summary'!AG41)))</f>
        <v/>
      </c>
      <c r="AD43" s="40" t="str">
        <f>IF($P43="","",'Inputs &amp; Summary'!AI41)</f>
        <v/>
      </c>
      <c r="AE43" s="36" t="str">
        <f>IF($P43="","",'Inputs &amp; Summary'!Z41)</f>
        <v/>
      </c>
      <c r="AF43" s="36" t="str">
        <f>IF($P43="","",'Inputs &amp; Summary'!U41)</f>
        <v/>
      </c>
      <c r="AG43" s="36" t="str">
        <f>IF($P43="","",'Inputs &amp; Summary'!V41)</f>
        <v/>
      </c>
      <c r="AH43" s="36" t="str">
        <f>IF($P43="","",'Inputs &amp; Summary'!W41)</f>
        <v/>
      </c>
      <c r="AI43" s="36" t="str">
        <f>IF($P43="","",IF($AI$11="",0,'Inputs &amp; Summary'!AM41))</f>
        <v/>
      </c>
      <c r="AJ43" s="36" t="str">
        <f>IF($P43="","",IF($AJ$11="",0,IF(PTab="P7",'Inputs &amp; Summary'!AQ41,'Inputs &amp; Summary'!AA41)))</f>
        <v/>
      </c>
      <c r="AK43" s="37" t="str">
        <f>IF($P43="","",'Inputs &amp; Summary'!AJ41)</f>
        <v/>
      </c>
    </row>
    <row r="44" spans="5:37" x14ac:dyDescent="0.3">
      <c r="P44" s="38" t="str">
        <f>IF('Inputs &amp; Summary'!O42="","",IF('Inputs &amp; Summary'!O42=0,"At Issue",'Inputs &amp; Summary'!P42))</f>
        <v/>
      </c>
      <c r="Q44" s="30" t="str">
        <f>IF($P44="","",'Inputs &amp; Summary'!O42)</f>
        <v/>
      </c>
      <c r="R44" s="30" t="str">
        <f>IF($P44="","",'Inputs &amp; Summary'!Q42)</f>
        <v/>
      </c>
      <c r="S44" s="39" t="str" cm="1">
        <f t="array" aca="1" ref="S44" ca="1">IF($P44="","",IF(S$11="",0,IFERROR(INDEX(INDIRECT(S$6&amp;VLOOKUP(Summary,Ref!$Y$13:$AC$18,3,FALSE)),MATCH(IF($P44="At Issue",VLOOKUP(Summary,Ref!$Y$13:$AC$18,2,FALSE),$P44),INDIRECT(S$6&amp;VLOOKUP(Summary,Ref!$Y$13:$AC$18,4,FALSE)),0),VLOOKUP(S$10,Ref!$Y$61:$AA$63,2,FALSE)),0)))</f>
        <v/>
      </c>
      <c r="T44" s="39" t="str" cm="1">
        <f t="array" aca="1" ref="T44" ca="1">IF($P44="","",IF(T$11="",0,IFERROR(INDEX(INDIRECT(T$6&amp;VLOOKUP(Summary,Ref!$Y$13:$AC$18,3,FALSE)),MATCH(IF($P44="At Issue",VLOOKUP(Summary,Ref!$Y$13:$AC$18,2,FALSE),$P44),INDIRECT(T$6&amp;VLOOKUP(Summary,Ref!$Y$13:$AC$18,4,FALSE)),0),VLOOKUP(T$10,Ref!$Y$61:$AA$63,2,FALSE)),0)))</f>
        <v/>
      </c>
      <c r="U44" s="39" t="str" cm="1">
        <f t="array" aca="1" ref="U44" ca="1">IF($P44="","",IF(U$11="",0,IFERROR(INDEX(INDIRECT(U$6&amp;VLOOKUP(Summary,Ref!$Y$13:$AC$18,3,FALSE)),MATCH(IF($P44="At Issue",VLOOKUP(Summary,Ref!$Y$13:$AC$18,2,FALSE),$P44),INDIRECT(U$6&amp;VLOOKUP(Summary,Ref!$Y$13:$AC$18,4,FALSE)),0),VLOOKUP(U$10,Ref!$Y$61:$AA$63,2,FALSE)),0)))</f>
        <v/>
      </c>
      <c r="V44" s="39" t="str" cm="1">
        <f t="array" aca="1" ref="V44" ca="1">IF($P44="","",IF(V$11="",0,IFERROR(INDEX(INDIRECT(V$6&amp;VLOOKUP(Summary,Ref!$Y$13:$AC$18,3,FALSE)),MATCH(IF($P44="At Issue",VLOOKUP(Summary,Ref!$Y$13:$AC$18,2,FALSE),$P44),INDIRECT(V$6&amp;VLOOKUP(Summary,Ref!$Y$13:$AC$18,4,FALSE)),0),VLOOKUP(V$10,Ref!$Y$61:$AA$63,2,FALSE)),0)))</f>
        <v/>
      </c>
      <c r="W44" s="39" t="str" cm="1">
        <f t="array" aca="1" ref="W44" ca="1">IF($P44="","",IF(W$11="",0,IFERROR(INDEX(INDIRECT(W$6&amp;VLOOKUP(Summary,Ref!$Y$13:$AC$18,3,FALSE)),MATCH(IF($P44="At Issue",VLOOKUP(Summary,Ref!$Y$13:$AC$18,2,FALSE),$P44),INDIRECT(W$6&amp;VLOOKUP(Summary,Ref!$Y$13:$AC$18,4,FALSE)),0),VLOOKUP(W$10,Ref!$Y$61:$AA$63,2,FALSE)),0)))</f>
        <v/>
      </c>
      <c r="X44" s="32" t="str">
        <f>IF($P44="","",'Inputs &amp; Summary'!S42)</f>
        <v/>
      </c>
      <c r="Y44" s="40" t="str">
        <f>IF($P44="","",'Inputs &amp; Summary'!T42)</f>
        <v/>
      </c>
      <c r="Z44" s="41" t="str">
        <f>IF($P44="","",IF($Z$11="",0,'Inputs &amp; Summary'!X42))</f>
        <v/>
      </c>
      <c r="AA44" s="36" t="str">
        <f>IF($P44="","",IF($AA$11="",0,IF(AND(LivBen&lt;&gt;"None",RIGHT(Category,2)&lt;&gt;"NY"),'Inputs &amp; Summary'!AH42,"")))</f>
        <v/>
      </c>
      <c r="AB44" s="36" t="str">
        <f>IF($P44="","",'Inputs &amp; Summary'!Y42)</f>
        <v/>
      </c>
      <c r="AC44" s="36" t="str">
        <f>IF($P44="","",IF(RIGHT(Category,2)="NY",'Inputs &amp; Summary'!AH42,SUM('Inputs &amp; Summary'!AB42,'Inputs &amp; Summary'!AE42*('Inputs &amp; Summary'!AD42="Yes"),'Inputs &amp; Summary'!AG42)))</f>
        <v/>
      </c>
      <c r="AD44" s="40" t="str">
        <f>IF($P44="","",'Inputs &amp; Summary'!AI42)</f>
        <v/>
      </c>
      <c r="AE44" s="36" t="str">
        <f>IF($P44="","",'Inputs &amp; Summary'!Z42)</f>
        <v/>
      </c>
      <c r="AF44" s="36" t="str">
        <f>IF($P44="","",'Inputs &amp; Summary'!U42)</f>
        <v/>
      </c>
      <c r="AG44" s="36" t="str">
        <f>IF($P44="","",'Inputs &amp; Summary'!V42)</f>
        <v/>
      </c>
      <c r="AH44" s="36" t="str">
        <f>IF($P44="","",'Inputs &amp; Summary'!W42)</f>
        <v/>
      </c>
      <c r="AI44" s="36" t="str">
        <f>IF($P44="","",IF($AI$11="",0,'Inputs &amp; Summary'!AM42))</f>
        <v/>
      </c>
      <c r="AJ44" s="36" t="str">
        <f>IF($P44="","",IF($AJ$11="",0,IF(PTab="P7",'Inputs &amp; Summary'!AQ42,'Inputs &amp; Summary'!AA42)))</f>
        <v/>
      </c>
      <c r="AK44" s="37" t="str">
        <f>IF($P44="","",'Inputs &amp; Summary'!AJ42)</f>
        <v/>
      </c>
    </row>
    <row r="45" spans="5:37" x14ac:dyDescent="0.3">
      <c r="P45" s="38" t="str">
        <f>IF('Inputs &amp; Summary'!O43="","",IF('Inputs &amp; Summary'!O43=0,"At Issue",'Inputs &amp; Summary'!P43))</f>
        <v/>
      </c>
      <c r="Q45" s="30" t="str">
        <f>IF($P45="","",'Inputs &amp; Summary'!O43)</f>
        <v/>
      </c>
      <c r="R45" s="30" t="str">
        <f>IF($P45="","",'Inputs &amp; Summary'!Q43)</f>
        <v/>
      </c>
      <c r="S45" s="39" t="str" cm="1">
        <f t="array" aca="1" ref="S45" ca="1">IF($P45="","",IF(S$11="",0,IFERROR(INDEX(INDIRECT(S$6&amp;VLOOKUP(Summary,Ref!$Y$13:$AC$18,3,FALSE)),MATCH(IF($P45="At Issue",VLOOKUP(Summary,Ref!$Y$13:$AC$18,2,FALSE),$P45),INDIRECT(S$6&amp;VLOOKUP(Summary,Ref!$Y$13:$AC$18,4,FALSE)),0),VLOOKUP(S$10,Ref!$Y$61:$AA$63,2,FALSE)),0)))</f>
        <v/>
      </c>
      <c r="T45" s="39" t="str" cm="1">
        <f t="array" aca="1" ref="T45" ca="1">IF($P45="","",IF(T$11="",0,IFERROR(INDEX(INDIRECT(T$6&amp;VLOOKUP(Summary,Ref!$Y$13:$AC$18,3,FALSE)),MATCH(IF($P45="At Issue",VLOOKUP(Summary,Ref!$Y$13:$AC$18,2,FALSE),$P45),INDIRECT(T$6&amp;VLOOKUP(Summary,Ref!$Y$13:$AC$18,4,FALSE)),0),VLOOKUP(T$10,Ref!$Y$61:$AA$63,2,FALSE)),0)))</f>
        <v/>
      </c>
      <c r="U45" s="39" t="str" cm="1">
        <f t="array" aca="1" ref="U45" ca="1">IF($P45="","",IF(U$11="",0,IFERROR(INDEX(INDIRECT(U$6&amp;VLOOKUP(Summary,Ref!$Y$13:$AC$18,3,FALSE)),MATCH(IF($P45="At Issue",VLOOKUP(Summary,Ref!$Y$13:$AC$18,2,FALSE),$P45),INDIRECT(U$6&amp;VLOOKUP(Summary,Ref!$Y$13:$AC$18,4,FALSE)),0),VLOOKUP(U$10,Ref!$Y$61:$AA$63,2,FALSE)),0)))</f>
        <v/>
      </c>
      <c r="V45" s="39" t="str" cm="1">
        <f t="array" aca="1" ref="V45" ca="1">IF($P45="","",IF(V$11="",0,IFERROR(INDEX(INDIRECT(V$6&amp;VLOOKUP(Summary,Ref!$Y$13:$AC$18,3,FALSE)),MATCH(IF($P45="At Issue",VLOOKUP(Summary,Ref!$Y$13:$AC$18,2,FALSE),$P45),INDIRECT(V$6&amp;VLOOKUP(Summary,Ref!$Y$13:$AC$18,4,FALSE)),0),VLOOKUP(V$10,Ref!$Y$61:$AA$63,2,FALSE)),0)))</f>
        <v/>
      </c>
      <c r="W45" s="39" t="str" cm="1">
        <f t="array" aca="1" ref="W45" ca="1">IF($P45="","",IF(W$11="",0,IFERROR(INDEX(INDIRECT(W$6&amp;VLOOKUP(Summary,Ref!$Y$13:$AC$18,3,FALSE)),MATCH(IF($P45="At Issue",VLOOKUP(Summary,Ref!$Y$13:$AC$18,2,FALSE),$P45),INDIRECT(W$6&amp;VLOOKUP(Summary,Ref!$Y$13:$AC$18,4,FALSE)),0),VLOOKUP(W$10,Ref!$Y$61:$AA$63,2,FALSE)),0)))</f>
        <v/>
      </c>
      <c r="X45" s="32" t="str">
        <f>IF($P45="","",'Inputs &amp; Summary'!S43)</f>
        <v/>
      </c>
      <c r="Y45" s="40" t="str">
        <f>IF($P45="","",'Inputs &amp; Summary'!T43)</f>
        <v/>
      </c>
      <c r="Z45" s="41" t="str">
        <f>IF($P45="","",IF($Z$11="",0,'Inputs &amp; Summary'!X43))</f>
        <v/>
      </c>
      <c r="AA45" s="36" t="str">
        <f>IF($P45="","",IF($AA$11="",0,IF(AND(LivBen&lt;&gt;"None",RIGHT(Category,2)&lt;&gt;"NY"),'Inputs &amp; Summary'!AH43,"")))</f>
        <v/>
      </c>
      <c r="AB45" s="36" t="str">
        <f>IF($P45="","",'Inputs &amp; Summary'!Y43)</f>
        <v/>
      </c>
      <c r="AC45" s="36" t="str">
        <f>IF($P45="","",IF(RIGHT(Category,2)="NY",'Inputs &amp; Summary'!AH43,SUM('Inputs &amp; Summary'!AB43,'Inputs &amp; Summary'!AE43*('Inputs &amp; Summary'!AD43="Yes"),'Inputs &amp; Summary'!AG43)))</f>
        <v/>
      </c>
      <c r="AD45" s="40" t="str">
        <f>IF($P45="","",'Inputs &amp; Summary'!AI43)</f>
        <v/>
      </c>
      <c r="AE45" s="36" t="str">
        <f>IF($P45="","",'Inputs &amp; Summary'!Z43)</f>
        <v/>
      </c>
      <c r="AF45" s="36" t="str">
        <f>IF($P45="","",'Inputs &amp; Summary'!U43)</f>
        <v/>
      </c>
      <c r="AG45" s="36" t="str">
        <f>IF($P45="","",'Inputs &amp; Summary'!V43)</f>
        <v/>
      </c>
      <c r="AH45" s="36" t="str">
        <f>IF($P45="","",'Inputs &amp; Summary'!W43)</f>
        <v/>
      </c>
      <c r="AI45" s="36" t="str">
        <f>IF($P45="","",IF($AI$11="",0,'Inputs &amp; Summary'!AM43))</f>
        <v/>
      </c>
      <c r="AJ45" s="36" t="str">
        <f>IF($P45="","",IF($AJ$11="",0,IF(PTab="P7",'Inputs &amp; Summary'!AQ43,'Inputs &amp; Summary'!AA43)))</f>
        <v/>
      </c>
      <c r="AK45" s="37" t="str">
        <f>IF($P45="","",'Inputs &amp; Summary'!AJ43)</f>
        <v/>
      </c>
    </row>
    <row r="46" spans="5:37" x14ac:dyDescent="0.3">
      <c r="P46" s="38" t="str">
        <f>IF('Inputs &amp; Summary'!O44="","",IF('Inputs &amp; Summary'!O44=0,"At Issue",'Inputs &amp; Summary'!P44))</f>
        <v/>
      </c>
      <c r="Q46" s="30" t="str">
        <f>IF($P46="","",'Inputs &amp; Summary'!O44)</f>
        <v/>
      </c>
      <c r="R46" s="30" t="str">
        <f>IF($P46="","",'Inputs &amp; Summary'!Q44)</f>
        <v/>
      </c>
      <c r="S46" s="39" t="str" cm="1">
        <f t="array" aca="1" ref="S46" ca="1">IF($P46="","",IF(S$11="",0,IFERROR(INDEX(INDIRECT(S$6&amp;VLOOKUP(Summary,Ref!$Y$13:$AC$18,3,FALSE)),MATCH(IF($P46="At Issue",VLOOKUP(Summary,Ref!$Y$13:$AC$18,2,FALSE),$P46),INDIRECT(S$6&amp;VLOOKUP(Summary,Ref!$Y$13:$AC$18,4,FALSE)),0),VLOOKUP(S$10,Ref!$Y$61:$AA$63,2,FALSE)),0)))</f>
        <v/>
      </c>
      <c r="T46" s="39" t="str" cm="1">
        <f t="array" aca="1" ref="T46" ca="1">IF($P46="","",IF(T$11="",0,IFERROR(INDEX(INDIRECT(T$6&amp;VLOOKUP(Summary,Ref!$Y$13:$AC$18,3,FALSE)),MATCH(IF($P46="At Issue",VLOOKUP(Summary,Ref!$Y$13:$AC$18,2,FALSE),$P46),INDIRECT(T$6&amp;VLOOKUP(Summary,Ref!$Y$13:$AC$18,4,FALSE)),0),VLOOKUP(T$10,Ref!$Y$61:$AA$63,2,FALSE)),0)))</f>
        <v/>
      </c>
      <c r="U46" s="39" t="str" cm="1">
        <f t="array" aca="1" ref="U46" ca="1">IF($P46="","",IF(U$11="",0,IFERROR(INDEX(INDIRECT(U$6&amp;VLOOKUP(Summary,Ref!$Y$13:$AC$18,3,FALSE)),MATCH(IF($P46="At Issue",VLOOKUP(Summary,Ref!$Y$13:$AC$18,2,FALSE),$P46),INDIRECT(U$6&amp;VLOOKUP(Summary,Ref!$Y$13:$AC$18,4,FALSE)),0),VLOOKUP(U$10,Ref!$Y$61:$AA$63,2,FALSE)),0)))</f>
        <v/>
      </c>
      <c r="V46" s="39" t="str" cm="1">
        <f t="array" aca="1" ref="V46" ca="1">IF($P46="","",IF(V$11="",0,IFERROR(INDEX(INDIRECT(V$6&amp;VLOOKUP(Summary,Ref!$Y$13:$AC$18,3,FALSE)),MATCH(IF($P46="At Issue",VLOOKUP(Summary,Ref!$Y$13:$AC$18,2,FALSE),$P46),INDIRECT(V$6&amp;VLOOKUP(Summary,Ref!$Y$13:$AC$18,4,FALSE)),0),VLOOKUP(V$10,Ref!$Y$61:$AA$63,2,FALSE)),0)))</f>
        <v/>
      </c>
      <c r="W46" s="39" t="str" cm="1">
        <f t="array" aca="1" ref="W46" ca="1">IF($P46="","",IF(W$11="",0,IFERROR(INDEX(INDIRECT(W$6&amp;VLOOKUP(Summary,Ref!$Y$13:$AC$18,3,FALSE)),MATCH(IF($P46="At Issue",VLOOKUP(Summary,Ref!$Y$13:$AC$18,2,FALSE),$P46),INDIRECT(W$6&amp;VLOOKUP(Summary,Ref!$Y$13:$AC$18,4,FALSE)),0),VLOOKUP(W$10,Ref!$Y$61:$AA$63,2,FALSE)),0)))</f>
        <v/>
      </c>
      <c r="X46" s="32" t="str">
        <f>IF($P46="","",'Inputs &amp; Summary'!S44)</f>
        <v/>
      </c>
      <c r="Y46" s="40" t="str">
        <f>IF($P46="","",'Inputs &amp; Summary'!T44)</f>
        <v/>
      </c>
      <c r="Z46" s="41" t="str">
        <f>IF($P46="","",IF($Z$11="",0,'Inputs &amp; Summary'!X44))</f>
        <v/>
      </c>
      <c r="AA46" s="36" t="str">
        <f>IF($P46="","",IF($AA$11="",0,IF(AND(LivBen&lt;&gt;"None",RIGHT(Category,2)&lt;&gt;"NY"),'Inputs &amp; Summary'!AH44,"")))</f>
        <v/>
      </c>
      <c r="AB46" s="36" t="str">
        <f>IF($P46="","",'Inputs &amp; Summary'!Y44)</f>
        <v/>
      </c>
      <c r="AC46" s="36" t="str">
        <f>IF($P46="","",IF(RIGHT(Category,2)="NY",'Inputs &amp; Summary'!AH44,SUM('Inputs &amp; Summary'!AB44,'Inputs &amp; Summary'!AE44*('Inputs &amp; Summary'!AD44="Yes"),'Inputs &amp; Summary'!AG44)))</f>
        <v/>
      </c>
      <c r="AD46" s="40" t="str">
        <f>IF($P46="","",'Inputs &amp; Summary'!AI44)</f>
        <v/>
      </c>
      <c r="AE46" s="36" t="str">
        <f>IF($P46="","",'Inputs &amp; Summary'!Z44)</f>
        <v/>
      </c>
      <c r="AF46" s="36" t="str">
        <f>IF($P46="","",'Inputs &amp; Summary'!U44)</f>
        <v/>
      </c>
      <c r="AG46" s="36" t="str">
        <f>IF($P46="","",'Inputs &amp; Summary'!V44)</f>
        <v/>
      </c>
      <c r="AH46" s="36" t="str">
        <f>IF($P46="","",'Inputs &amp; Summary'!W44)</f>
        <v/>
      </c>
      <c r="AI46" s="36" t="str">
        <f>IF($P46="","",IF($AI$11="",0,'Inputs &amp; Summary'!AM44))</f>
        <v/>
      </c>
      <c r="AJ46" s="36" t="str">
        <f>IF($P46="","",IF($AJ$11="",0,IF(PTab="P7",'Inputs &amp; Summary'!AQ44,'Inputs &amp; Summary'!AA44)))</f>
        <v/>
      </c>
      <c r="AK46" s="37" t="str">
        <f>IF($P46="","",'Inputs &amp; Summary'!AJ44)</f>
        <v/>
      </c>
    </row>
    <row r="47" spans="5:37" x14ac:dyDescent="0.3">
      <c r="P47" s="38" t="str">
        <f>IF('Inputs &amp; Summary'!O45="","",IF('Inputs &amp; Summary'!O45=0,"At Issue",'Inputs &amp; Summary'!P45))</f>
        <v/>
      </c>
      <c r="Q47" s="30" t="str">
        <f>IF($P47="","",'Inputs &amp; Summary'!O45)</f>
        <v/>
      </c>
      <c r="R47" s="30" t="str">
        <f>IF($P47="","",'Inputs &amp; Summary'!Q45)</f>
        <v/>
      </c>
      <c r="S47" s="39" t="str" cm="1">
        <f t="array" aca="1" ref="S47" ca="1">IF($P47="","",IF(S$11="",0,IFERROR(INDEX(INDIRECT(S$6&amp;VLOOKUP(Summary,Ref!$Y$13:$AC$18,3,FALSE)),MATCH(IF($P47="At Issue",VLOOKUP(Summary,Ref!$Y$13:$AC$18,2,FALSE),$P47),INDIRECT(S$6&amp;VLOOKUP(Summary,Ref!$Y$13:$AC$18,4,FALSE)),0),VLOOKUP(S$10,Ref!$Y$61:$AA$63,2,FALSE)),0)))</f>
        <v/>
      </c>
      <c r="T47" s="39" t="str" cm="1">
        <f t="array" aca="1" ref="T47" ca="1">IF($P47="","",IF(T$11="",0,IFERROR(INDEX(INDIRECT(T$6&amp;VLOOKUP(Summary,Ref!$Y$13:$AC$18,3,FALSE)),MATCH(IF($P47="At Issue",VLOOKUP(Summary,Ref!$Y$13:$AC$18,2,FALSE),$P47),INDIRECT(T$6&amp;VLOOKUP(Summary,Ref!$Y$13:$AC$18,4,FALSE)),0),VLOOKUP(T$10,Ref!$Y$61:$AA$63,2,FALSE)),0)))</f>
        <v/>
      </c>
      <c r="U47" s="39" t="str" cm="1">
        <f t="array" aca="1" ref="U47" ca="1">IF($P47="","",IF(U$11="",0,IFERROR(INDEX(INDIRECT(U$6&amp;VLOOKUP(Summary,Ref!$Y$13:$AC$18,3,FALSE)),MATCH(IF($P47="At Issue",VLOOKUP(Summary,Ref!$Y$13:$AC$18,2,FALSE),$P47),INDIRECT(U$6&amp;VLOOKUP(Summary,Ref!$Y$13:$AC$18,4,FALSE)),0),VLOOKUP(U$10,Ref!$Y$61:$AA$63,2,FALSE)),0)))</f>
        <v/>
      </c>
      <c r="V47" s="39" t="str" cm="1">
        <f t="array" aca="1" ref="V47" ca="1">IF($P47="","",IF(V$11="",0,IFERROR(INDEX(INDIRECT(V$6&amp;VLOOKUP(Summary,Ref!$Y$13:$AC$18,3,FALSE)),MATCH(IF($P47="At Issue",VLOOKUP(Summary,Ref!$Y$13:$AC$18,2,FALSE),$P47),INDIRECT(V$6&amp;VLOOKUP(Summary,Ref!$Y$13:$AC$18,4,FALSE)),0),VLOOKUP(V$10,Ref!$Y$61:$AA$63,2,FALSE)),0)))</f>
        <v/>
      </c>
      <c r="W47" s="39" t="str" cm="1">
        <f t="array" aca="1" ref="W47" ca="1">IF($P47="","",IF(W$11="",0,IFERROR(INDEX(INDIRECT(W$6&amp;VLOOKUP(Summary,Ref!$Y$13:$AC$18,3,FALSE)),MATCH(IF($P47="At Issue",VLOOKUP(Summary,Ref!$Y$13:$AC$18,2,FALSE),$P47),INDIRECT(W$6&amp;VLOOKUP(Summary,Ref!$Y$13:$AC$18,4,FALSE)),0),VLOOKUP(W$10,Ref!$Y$61:$AA$63,2,FALSE)),0)))</f>
        <v/>
      </c>
      <c r="X47" s="32" t="str">
        <f>IF($P47="","",'Inputs &amp; Summary'!S45)</f>
        <v/>
      </c>
      <c r="Y47" s="40" t="str">
        <f>IF($P47="","",'Inputs &amp; Summary'!T45)</f>
        <v/>
      </c>
      <c r="Z47" s="41" t="str">
        <f>IF($P47="","",IF($Z$11="",0,'Inputs &amp; Summary'!X45))</f>
        <v/>
      </c>
      <c r="AA47" s="36" t="str">
        <f>IF($P47="","",IF($AA$11="",0,IF(AND(LivBen&lt;&gt;"None",RIGHT(Category,2)&lt;&gt;"NY"),'Inputs &amp; Summary'!AH45,"")))</f>
        <v/>
      </c>
      <c r="AB47" s="36" t="str">
        <f>IF($P47="","",'Inputs &amp; Summary'!Y45)</f>
        <v/>
      </c>
      <c r="AC47" s="36" t="str">
        <f>IF($P47="","",IF(RIGHT(Category,2)="NY",'Inputs &amp; Summary'!AH45,SUM('Inputs &amp; Summary'!AB45,'Inputs &amp; Summary'!AE45*('Inputs &amp; Summary'!AD45="Yes"),'Inputs &amp; Summary'!AG45)))</f>
        <v/>
      </c>
      <c r="AD47" s="40" t="str">
        <f>IF($P47="","",'Inputs &amp; Summary'!AI45)</f>
        <v/>
      </c>
      <c r="AE47" s="36" t="str">
        <f>IF($P47="","",'Inputs &amp; Summary'!Z45)</f>
        <v/>
      </c>
      <c r="AF47" s="36" t="str">
        <f>IF($P47="","",'Inputs &amp; Summary'!U45)</f>
        <v/>
      </c>
      <c r="AG47" s="36" t="str">
        <f>IF($P47="","",'Inputs &amp; Summary'!V45)</f>
        <v/>
      </c>
      <c r="AH47" s="36" t="str">
        <f>IF($P47="","",'Inputs &amp; Summary'!W45)</f>
        <v/>
      </c>
      <c r="AI47" s="36" t="str">
        <f>IF($P47="","",IF($AI$11="",0,'Inputs &amp; Summary'!AM45))</f>
        <v/>
      </c>
      <c r="AJ47" s="36" t="str">
        <f>IF($P47="","",IF($AJ$11="",0,IF(PTab="P7",'Inputs &amp; Summary'!AQ45,'Inputs &amp; Summary'!AA45)))</f>
        <v/>
      </c>
      <c r="AK47" s="37" t="str">
        <f>IF($P47="","",'Inputs &amp; Summary'!AJ45)</f>
        <v/>
      </c>
    </row>
    <row r="48" spans="5:37" x14ac:dyDescent="0.3">
      <c r="P48" s="38" t="str">
        <f>IF('Inputs &amp; Summary'!O46="","",IF('Inputs &amp; Summary'!O46=0,"At Issue",'Inputs &amp; Summary'!P46))</f>
        <v/>
      </c>
      <c r="Q48" s="30" t="str">
        <f>IF($P48="","",'Inputs &amp; Summary'!O46)</f>
        <v/>
      </c>
      <c r="R48" s="30" t="str">
        <f>IF($P48="","",'Inputs &amp; Summary'!Q46)</f>
        <v/>
      </c>
      <c r="S48" s="39" t="str" cm="1">
        <f t="array" aca="1" ref="S48" ca="1">IF($P48="","",IF(S$11="",0,IFERROR(INDEX(INDIRECT(S$6&amp;VLOOKUP(Summary,Ref!$Y$13:$AC$18,3,FALSE)),MATCH(IF($P48="At Issue",VLOOKUP(Summary,Ref!$Y$13:$AC$18,2,FALSE),$P48),INDIRECT(S$6&amp;VLOOKUP(Summary,Ref!$Y$13:$AC$18,4,FALSE)),0),VLOOKUP(S$10,Ref!$Y$61:$AA$63,2,FALSE)),0)))</f>
        <v/>
      </c>
      <c r="T48" s="39" t="str" cm="1">
        <f t="array" aca="1" ref="T48" ca="1">IF($P48="","",IF(T$11="",0,IFERROR(INDEX(INDIRECT(T$6&amp;VLOOKUP(Summary,Ref!$Y$13:$AC$18,3,FALSE)),MATCH(IF($P48="At Issue",VLOOKUP(Summary,Ref!$Y$13:$AC$18,2,FALSE),$P48),INDIRECT(T$6&amp;VLOOKUP(Summary,Ref!$Y$13:$AC$18,4,FALSE)),0),VLOOKUP(T$10,Ref!$Y$61:$AA$63,2,FALSE)),0)))</f>
        <v/>
      </c>
      <c r="U48" s="39" t="str" cm="1">
        <f t="array" aca="1" ref="U48" ca="1">IF($P48="","",IF(U$11="",0,IFERROR(INDEX(INDIRECT(U$6&amp;VLOOKUP(Summary,Ref!$Y$13:$AC$18,3,FALSE)),MATCH(IF($P48="At Issue",VLOOKUP(Summary,Ref!$Y$13:$AC$18,2,FALSE),$P48),INDIRECT(U$6&amp;VLOOKUP(Summary,Ref!$Y$13:$AC$18,4,FALSE)),0),VLOOKUP(U$10,Ref!$Y$61:$AA$63,2,FALSE)),0)))</f>
        <v/>
      </c>
      <c r="V48" s="39" t="str" cm="1">
        <f t="array" aca="1" ref="V48" ca="1">IF($P48="","",IF(V$11="",0,IFERROR(INDEX(INDIRECT(V$6&amp;VLOOKUP(Summary,Ref!$Y$13:$AC$18,3,FALSE)),MATCH(IF($P48="At Issue",VLOOKUP(Summary,Ref!$Y$13:$AC$18,2,FALSE),$P48),INDIRECT(V$6&amp;VLOOKUP(Summary,Ref!$Y$13:$AC$18,4,FALSE)),0),VLOOKUP(V$10,Ref!$Y$61:$AA$63,2,FALSE)),0)))</f>
        <v/>
      </c>
      <c r="W48" s="39" t="str" cm="1">
        <f t="array" aca="1" ref="W48" ca="1">IF($P48="","",IF(W$11="",0,IFERROR(INDEX(INDIRECT(W$6&amp;VLOOKUP(Summary,Ref!$Y$13:$AC$18,3,FALSE)),MATCH(IF($P48="At Issue",VLOOKUP(Summary,Ref!$Y$13:$AC$18,2,FALSE),$P48),INDIRECT(W$6&amp;VLOOKUP(Summary,Ref!$Y$13:$AC$18,4,FALSE)),0),VLOOKUP(W$10,Ref!$Y$61:$AA$63,2,FALSE)),0)))</f>
        <v/>
      </c>
      <c r="X48" s="32" t="str">
        <f>IF($P48="","",'Inputs &amp; Summary'!S46)</f>
        <v/>
      </c>
      <c r="Y48" s="40" t="str">
        <f>IF($P48="","",'Inputs &amp; Summary'!T46)</f>
        <v/>
      </c>
      <c r="Z48" s="41" t="str">
        <f>IF($P48="","",IF($Z$11="",0,'Inputs &amp; Summary'!X46))</f>
        <v/>
      </c>
      <c r="AA48" s="36" t="str">
        <f>IF($P48="","",IF($AA$11="",0,IF(AND(LivBen&lt;&gt;"None",RIGHT(Category,2)&lt;&gt;"NY"),'Inputs &amp; Summary'!AH46,"")))</f>
        <v/>
      </c>
      <c r="AB48" s="36" t="str">
        <f>IF($P48="","",'Inputs &amp; Summary'!Y46)</f>
        <v/>
      </c>
      <c r="AC48" s="36" t="str">
        <f>IF($P48="","",IF(RIGHT(Category,2)="NY",'Inputs &amp; Summary'!AH46,SUM('Inputs &amp; Summary'!AB46,'Inputs &amp; Summary'!AE46*('Inputs &amp; Summary'!AD46="Yes"),'Inputs &amp; Summary'!AG46)))</f>
        <v/>
      </c>
      <c r="AD48" s="40" t="str">
        <f>IF($P48="","",'Inputs &amp; Summary'!AI46)</f>
        <v/>
      </c>
      <c r="AE48" s="36" t="str">
        <f>IF($P48="","",'Inputs &amp; Summary'!Z46)</f>
        <v/>
      </c>
      <c r="AF48" s="36" t="str">
        <f>IF($P48="","",'Inputs &amp; Summary'!U46)</f>
        <v/>
      </c>
      <c r="AG48" s="36" t="str">
        <f>IF($P48="","",'Inputs &amp; Summary'!V46)</f>
        <v/>
      </c>
      <c r="AH48" s="36" t="str">
        <f>IF($P48="","",'Inputs &amp; Summary'!W46)</f>
        <v/>
      </c>
      <c r="AI48" s="36" t="str">
        <f>IF($P48="","",IF($AI$11="",0,'Inputs &amp; Summary'!AM46))</f>
        <v/>
      </c>
      <c r="AJ48" s="36" t="str">
        <f>IF($P48="","",IF($AJ$11="",0,IF(PTab="P7",'Inputs &amp; Summary'!AQ46,'Inputs &amp; Summary'!AA46)))</f>
        <v/>
      </c>
      <c r="AK48" s="37" t="str">
        <f>IF($P48="","",'Inputs &amp; Summary'!AJ46)</f>
        <v/>
      </c>
    </row>
    <row r="49" spans="16:37" outlineLevel="1" x14ac:dyDescent="0.3">
      <c r="P49" s="38" t="str">
        <f>IF('Inputs &amp; Summary'!O47="","",IF('Inputs &amp; Summary'!O47=0,"At Issue",'Inputs &amp; Summary'!P47))</f>
        <v/>
      </c>
      <c r="Q49" s="30" t="str">
        <f>IF($P49="","",'Inputs &amp; Summary'!O47)</f>
        <v/>
      </c>
      <c r="R49" s="30" t="str">
        <f>IF($P49="","",'Inputs &amp; Summary'!Q47)</f>
        <v/>
      </c>
      <c r="S49" s="39" t="str" cm="1">
        <f t="array" aca="1" ref="S49" ca="1">IF($P49="","",IF(S$11="",0,IFERROR(INDEX(INDIRECT(S$6&amp;VLOOKUP(Summary,Ref!$Y$13:$AC$18,3,FALSE)),MATCH(IF($P49="At Issue",VLOOKUP(Summary,Ref!$Y$13:$AC$18,2,FALSE),$P49),INDIRECT(S$6&amp;VLOOKUP(Summary,Ref!$Y$13:$AC$18,4,FALSE)),0),VLOOKUP(S$10,Ref!$Y$61:$AA$63,2,FALSE)),0)))</f>
        <v/>
      </c>
      <c r="T49" s="39" t="str" cm="1">
        <f t="array" aca="1" ref="T49" ca="1">IF($P49="","",IF(T$11="",0,IFERROR(INDEX(INDIRECT(T$6&amp;VLOOKUP(Summary,Ref!$Y$13:$AC$18,3,FALSE)),MATCH(IF($P49="At Issue",VLOOKUP(Summary,Ref!$Y$13:$AC$18,2,FALSE),$P49),INDIRECT(T$6&amp;VLOOKUP(Summary,Ref!$Y$13:$AC$18,4,FALSE)),0),VLOOKUP(T$10,Ref!$Y$61:$AA$63,2,FALSE)),0)))</f>
        <v/>
      </c>
      <c r="U49" s="39" t="str" cm="1">
        <f t="array" aca="1" ref="U49" ca="1">IF($P49="","",IF(U$11="",0,IFERROR(INDEX(INDIRECT(U$6&amp;VLOOKUP(Summary,Ref!$Y$13:$AC$18,3,FALSE)),MATCH(IF($P49="At Issue",VLOOKUP(Summary,Ref!$Y$13:$AC$18,2,FALSE),$P49),INDIRECT(U$6&amp;VLOOKUP(Summary,Ref!$Y$13:$AC$18,4,FALSE)),0),VLOOKUP(U$10,Ref!$Y$61:$AA$63,2,FALSE)),0)))</f>
        <v/>
      </c>
      <c r="V49" s="39" t="str" cm="1">
        <f t="array" aca="1" ref="V49" ca="1">IF($P49="","",IF(V$11="",0,IFERROR(INDEX(INDIRECT(V$6&amp;VLOOKUP(Summary,Ref!$Y$13:$AC$18,3,FALSE)),MATCH(IF($P49="At Issue",VLOOKUP(Summary,Ref!$Y$13:$AC$18,2,FALSE),$P49),INDIRECT(V$6&amp;VLOOKUP(Summary,Ref!$Y$13:$AC$18,4,FALSE)),0),VLOOKUP(V$10,Ref!$Y$61:$AA$63,2,FALSE)),0)))</f>
        <v/>
      </c>
      <c r="W49" s="39" t="str" cm="1">
        <f t="array" aca="1" ref="W49" ca="1">IF($P49="","",IF(W$11="",0,IFERROR(INDEX(INDIRECT(W$6&amp;VLOOKUP(Summary,Ref!$Y$13:$AC$18,3,FALSE)),MATCH(IF($P49="At Issue",VLOOKUP(Summary,Ref!$Y$13:$AC$18,2,FALSE),$P49),INDIRECT(W$6&amp;VLOOKUP(Summary,Ref!$Y$13:$AC$18,4,FALSE)),0),VLOOKUP(W$10,Ref!$Y$61:$AA$63,2,FALSE)),0)))</f>
        <v/>
      </c>
      <c r="X49" s="32" t="str">
        <f>IF($P49="","",'Inputs &amp; Summary'!S47)</f>
        <v/>
      </c>
      <c r="Y49" s="40" t="str">
        <f>IF($P49="","",'Inputs &amp; Summary'!T47)</f>
        <v/>
      </c>
      <c r="Z49" s="41" t="str">
        <f>IF($P49="","",IF($Z$11="",0,'Inputs &amp; Summary'!X47))</f>
        <v/>
      </c>
      <c r="AA49" s="36" t="str">
        <f>IF($P49="","",IF($AA$11="",0,IF(AND(LivBen&lt;&gt;"None",RIGHT(Category,2)&lt;&gt;"NY"),'Inputs &amp; Summary'!AH47,"")))</f>
        <v/>
      </c>
      <c r="AB49" s="36" t="str">
        <f>IF($P49="","",'Inputs &amp; Summary'!Y47)</f>
        <v/>
      </c>
      <c r="AC49" s="36" t="str">
        <f>IF($P49="","",IF(RIGHT(Category,2)="NY",'Inputs &amp; Summary'!AH47,SUM('Inputs &amp; Summary'!AB47,'Inputs &amp; Summary'!AE47*('Inputs &amp; Summary'!AD47="Yes"),'Inputs &amp; Summary'!AG47)))</f>
        <v/>
      </c>
      <c r="AD49" s="40" t="str">
        <f>IF($P49="","",'Inputs &amp; Summary'!AI47)</f>
        <v/>
      </c>
      <c r="AE49" s="36" t="str">
        <f>IF($P49="","",'Inputs &amp; Summary'!Z47)</f>
        <v/>
      </c>
      <c r="AF49" s="36" t="str">
        <f>IF($P49="","",'Inputs &amp; Summary'!U47)</f>
        <v/>
      </c>
      <c r="AG49" s="36" t="str">
        <f>IF($P49="","",'Inputs &amp; Summary'!V47)</f>
        <v/>
      </c>
      <c r="AH49" s="36" t="str">
        <f>IF($P49="","",'Inputs &amp; Summary'!W47)</f>
        <v/>
      </c>
      <c r="AI49" s="36" t="str">
        <f>IF($P49="","",IF($AI$11="",0,'Inputs &amp; Summary'!AM47))</f>
        <v/>
      </c>
      <c r="AJ49" s="36" t="str">
        <f>IF($P49="","",IF($AJ$11="",0,IF(PTab="P7",'Inputs &amp; Summary'!AQ47,'Inputs &amp; Summary'!AA47)))</f>
        <v/>
      </c>
      <c r="AK49" s="37" t="str">
        <f>IF($P49="","",'Inputs &amp; Summary'!AJ47)</f>
        <v/>
      </c>
    </row>
    <row r="50" spans="16:37" outlineLevel="1" x14ac:dyDescent="0.3">
      <c r="P50" s="38" t="str">
        <f>IF('Inputs &amp; Summary'!O48="","",IF('Inputs &amp; Summary'!O48=0,"At Issue",'Inputs &amp; Summary'!P48))</f>
        <v/>
      </c>
      <c r="Q50" s="30" t="str">
        <f>IF($P50="","",'Inputs &amp; Summary'!O48)</f>
        <v/>
      </c>
      <c r="R50" s="30" t="str">
        <f>IF($P50="","",'Inputs &amp; Summary'!Q48)</f>
        <v/>
      </c>
      <c r="S50" s="39" t="str" cm="1">
        <f t="array" aca="1" ref="S50" ca="1">IF($P50="","",IF(S$11="",0,IFERROR(INDEX(INDIRECT(S$6&amp;VLOOKUP(Summary,Ref!$Y$13:$AC$18,3,FALSE)),MATCH(IF($P50="At Issue",VLOOKUP(Summary,Ref!$Y$13:$AC$18,2,FALSE),$P50),INDIRECT(S$6&amp;VLOOKUP(Summary,Ref!$Y$13:$AC$18,4,FALSE)),0),VLOOKUP(S$10,Ref!$Y$61:$AA$63,2,FALSE)),0)))</f>
        <v/>
      </c>
      <c r="T50" s="39" t="str" cm="1">
        <f t="array" aca="1" ref="T50" ca="1">IF($P50="","",IF(T$11="",0,IFERROR(INDEX(INDIRECT(T$6&amp;VLOOKUP(Summary,Ref!$Y$13:$AC$18,3,FALSE)),MATCH(IF($P50="At Issue",VLOOKUP(Summary,Ref!$Y$13:$AC$18,2,FALSE),$P50),INDIRECT(T$6&amp;VLOOKUP(Summary,Ref!$Y$13:$AC$18,4,FALSE)),0),VLOOKUP(T$10,Ref!$Y$61:$AA$63,2,FALSE)),0)))</f>
        <v/>
      </c>
      <c r="U50" s="39" t="str" cm="1">
        <f t="array" aca="1" ref="U50" ca="1">IF($P50="","",IF(U$11="",0,IFERROR(INDEX(INDIRECT(U$6&amp;VLOOKUP(Summary,Ref!$Y$13:$AC$18,3,FALSE)),MATCH(IF($P50="At Issue",VLOOKUP(Summary,Ref!$Y$13:$AC$18,2,FALSE),$P50),INDIRECT(U$6&amp;VLOOKUP(Summary,Ref!$Y$13:$AC$18,4,FALSE)),0),VLOOKUP(U$10,Ref!$Y$61:$AA$63,2,FALSE)),0)))</f>
        <v/>
      </c>
      <c r="V50" s="39" t="str" cm="1">
        <f t="array" aca="1" ref="V50" ca="1">IF($P50="","",IF(V$11="",0,IFERROR(INDEX(INDIRECT(V$6&amp;VLOOKUP(Summary,Ref!$Y$13:$AC$18,3,FALSE)),MATCH(IF($P50="At Issue",VLOOKUP(Summary,Ref!$Y$13:$AC$18,2,FALSE),$P50),INDIRECT(V$6&amp;VLOOKUP(Summary,Ref!$Y$13:$AC$18,4,FALSE)),0),VLOOKUP(V$10,Ref!$Y$61:$AA$63,2,FALSE)),0)))</f>
        <v/>
      </c>
      <c r="W50" s="39" t="str" cm="1">
        <f t="array" aca="1" ref="W50" ca="1">IF($P50="","",IF(W$11="",0,IFERROR(INDEX(INDIRECT(W$6&amp;VLOOKUP(Summary,Ref!$Y$13:$AC$18,3,FALSE)),MATCH(IF($P50="At Issue",VLOOKUP(Summary,Ref!$Y$13:$AC$18,2,FALSE),$P50),INDIRECT(W$6&amp;VLOOKUP(Summary,Ref!$Y$13:$AC$18,4,FALSE)),0),VLOOKUP(W$10,Ref!$Y$61:$AA$63,2,FALSE)),0)))</f>
        <v/>
      </c>
      <c r="X50" s="32" t="str">
        <f>IF($P50="","",'Inputs &amp; Summary'!S48)</f>
        <v/>
      </c>
      <c r="Y50" s="40" t="str">
        <f>IF($P50="","",'Inputs &amp; Summary'!T48)</f>
        <v/>
      </c>
      <c r="Z50" s="41" t="str">
        <f>IF($P50="","",IF($Z$11="",0,'Inputs &amp; Summary'!X48))</f>
        <v/>
      </c>
      <c r="AA50" s="36" t="str">
        <f>IF($P50="","",IF($AA$11="",0,IF(AND(LivBen&lt;&gt;"None",RIGHT(Category,2)&lt;&gt;"NY"),'Inputs &amp; Summary'!AH48,"")))</f>
        <v/>
      </c>
      <c r="AB50" s="36" t="str">
        <f>IF($P50="","",'Inputs &amp; Summary'!Y48)</f>
        <v/>
      </c>
      <c r="AC50" s="36" t="str">
        <f>IF($P50="","",IF(RIGHT(Category,2)="NY",'Inputs &amp; Summary'!AH48,SUM('Inputs &amp; Summary'!AB48,'Inputs &amp; Summary'!AE48*('Inputs &amp; Summary'!AD48="Yes"),'Inputs &amp; Summary'!AG48)))</f>
        <v/>
      </c>
      <c r="AD50" s="40" t="str">
        <f>IF($P50="","",'Inputs &amp; Summary'!AI48)</f>
        <v/>
      </c>
      <c r="AE50" s="36" t="str">
        <f>IF($P50="","",'Inputs &amp; Summary'!Z48)</f>
        <v/>
      </c>
      <c r="AF50" s="36" t="str">
        <f>IF($P50="","",'Inputs &amp; Summary'!U48)</f>
        <v/>
      </c>
      <c r="AG50" s="36" t="str">
        <f>IF($P50="","",'Inputs &amp; Summary'!V48)</f>
        <v/>
      </c>
      <c r="AH50" s="36" t="str">
        <f>IF($P50="","",'Inputs &amp; Summary'!W48)</f>
        <v/>
      </c>
      <c r="AI50" s="36" t="str">
        <f>IF($P50="","",IF($AI$11="",0,'Inputs &amp; Summary'!AM48))</f>
        <v/>
      </c>
      <c r="AJ50" s="36" t="str">
        <f>IF($P50="","",IF($AJ$11="",0,IF(PTab="P7",'Inputs &amp; Summary'!AQ48,'Inputs &amp; Summary'!AA48)))</f>
        <v/>
      </c>
      <c r="AK50" s="37" t="str">
        <f>IF($P50="","",'Inputs &amp; Summary'!AJ48)</f>
        <v/>
      </c>
    </row>
    <row r="51" spans="16:37" outlineLevel="1" x14ac:dyDescent="0.3">
      <c r="P51" s="38" t="str">
        <f>IF('Inputs &amp; Summary'!O49="","",IF('Inputs &amp; Summary'!O49=0,"At Issue",'Inputs &amp; Summary'!P49))</f>
        <v/>
      </c>
      <c r="Q51" s="30" t="str">
        <f>IF($P51="","",'Inputs &amp; Summary'!O49)</f>
        <v/>
      </c>
      <c r="R51" s="30" t="str">
        <f>IF($P51="","",'Inputs &amp; Summary'!Q49)</f>
        <v/>
      </c>
      <c r="S51" s="39" t="str" cm="1">
        <f t="array" aca="1" ref="S51" ca="1">IF($P51="","",IF(S$11="",0,IFERROR(INDEX(INDIRECT(S$6&amp;VLOOKUP(Summary,Ref!$Y$13:$AC$18,3,FALSE)),MATCH(IF($P51="At Issue",VLOOKUP(Summary,Ref!$Y$13:$AC$18,2,FALSE),$P51),INDIRECT(S$6&amp;VLOOKUP(Summary,Ref!$Y$13:$AC$18,4,FALSE)),0),VLOOKUP(S$10,Ref!$Y$61:$AA$63,2,FALSE)),0)))</f>
        <v/>
      </c>
      <c r="T51" s="39" t="str" cm="1">
        <f t="array" aca="1" ref="T51" ca="1">IF($P51="","",IF(T$11="",0,IFERROR(INDEX(INDIRECT(T$6&amp;VLOOKUP(Summary,Ref!$Y$13:$AC$18,3,FALSE)),MATCH(IF($P51="At Issue",VLOOKUP(Summary,Ref!$Y$13:$AC$18,2,FALSE),$P51),INDIRECT(T$6&amp;VLOOKUP(Summary,Ref!$Y$13:$AC$18,4,FALSE)),0),VLOOKUP(T$10,Ref!$Y$61:$AA$63,2,FALSE)),0)))</f>
        <v/>
      </c>
      <c r="U51" s="39" t="str" cm="1">
        <f t="array" aca="1" ref="U51" ca="1">IF($P51="","",IF(U$11="",0,IFERROR(INDEX(INDIRECT(U$6&amp;VLOOKUP(Summary,Ref!$Y$13:$AC$18,3,FALSE)),MATCH(IF($P51="At Issue",VLOOKUP(Summary,Ref!$Y$13:$AC$18,2,FALSE),$P51),INDIRECT(U$6&amp;VLOOKUP(Summary,Ref!$Y$13:$AC$18,4,FALSE)),0),VLOOKUP(U$10,Ref!$Y$61:$AA$63,2,FALSE)),0)))</f>
        <v/>
      </c>
      <c r="V51" s="39" t="str" cm="1">
        <f t="array" aca="1" ref="V51" ca="1">IF($P51="","",IF(V$11="",0,IFERROR(INDEX(INDIRECT(V$6&amp;VLOOKUP(Summary,Ref!$Y$13:$AC$18,3,FALSE)),MATCH(IF($P51="At Issue",VLOOKUP(Summary,Ref!$Y$13:$AC$18,2,FALSE),$P51),INDIRECT(V$6&amp;VLOOKUP(Summary,Ref!$Y$13:$AC$18,4,FALSE)),0),VLOOKUP(V$10,Ref!$Y$61:$AA$63,2,FALSE)),0)))</f>
        <v/>
      </c>
      <c r="W51" s="39" t="str" cm="1">
        <f t="array" aca="1" ref="W51" ca="1">IF($P51="","",IF(W$11="",0,IFERROR(INDEX(INDIRECT(W$6&amp;VLOOKUP(Summary,Ref!$Y$13:$AC$18,3,FALSE)),MATCH(IF($P51="At Issue",VLOOKUP(Summary,Ref!$Y$13:$AC$18,2,FALSE),$P51),INDIRECT(W$6&amp;VLOOKUP(Summary,Ref!$Y$13:$AC$18,4,FALSE)),0),VLOOKUP(W$10,Ref!$Y$61:$AA$63,2,FALSE)),0)))</f>
        <v/>
      </c>
      <c r="X51" s="32" t="str">
        <f>IF($P51="","",'Inputs &amp; Summary'!S49)</f>
        <v/>
      </c>
      <c r="Y51" s="40" t="str">
        <f>IF($P51="","",'Inputs &amp; Summary'!T49)</f>
        <v/>
      </c>
      <c r="Z51" s="41" t="str">
        <f>IF($P51="","",IF($Z$11="",0,'Inputs &amp; Summary'!X49))</f>
        <v/>
      </c>
      <c r="AA51" s="36" t="str">
        <f>IF($P51="","",IF($AA$11="",0,IF(AND(LivBen&lt;&gt;"None",RIGHT(Category,2)&lt;&gt;"NY"),'Inputs &amp; Summary'!AH49,"")))</f>
        <v/>
      </c>
      <c r="AB51" s="36" t="str">
        <f>IF($P51="","",'Inputs &amp; Summary'!Y49)</f>
        <v/>
      </c>
      <c r="AC51" s="36" t="str">
        <f>IF($P51="","",IF(RIGHT(Category,2)="NY",'Inputs &amp; Summary'!AH49,SUM('Inputs &amp; Summary'!AB49,'Inputs &amp; Summary'!AE49*('Inputs &amp; Summary'!AD49="Yes"),'Inputs &amp; Summary'!AG49)))</f>
        <v/>
      </c>
      <c r="AD51" s="40" t="str">
        <f>IF($P51="","",'Inputs &amp; Summary'!AI49)</f>
        <v/>
      </c>
      <c r="AE51" s="36" t="str">
        <f>IF($P51="","",'Inputs &amp; Summary'!Z49)</f>
        <v/>
      </c>
      <c r="AF51" s="36" t="str">
        <f>IF($P51="","",'Inputs &amp; Summary'!U49)</f>
        <v/>
      </c>
      <c r="AG51" s="36" t="str">
        <f>IF($P51="","",'Inputs &amp; Summary'!V49)</f>
        <v/>
      </c>
      <c r="AH51" s="36" t="str">
        <f>IF($P51="","",'Inputs &amp; Summary'!W49)</f>
        <v/>
      </c>
      <c r="AI51" s="36" t="str">
        <f>IF($P51="","",IF($AI$11="",0,'Inputs &amp; Summary'!AM49))</f>
        <v/>
      </c>
      <c r="AJ51" s="36" t="str">
        <f>IF($P51="","",IF($AJ$11="",0,IF(PTab="P7",'Inputs &amp; Summary'!AQ49,'Inputs &amp; Summary'!AA49)))</f>
        <v/>
      </c>
      <c r="AK51" s="37" t="str">
        <f>IF($P51="","",'Inputs &amp; Summary'!AJ49)</f>
        <v/>
      </c>
    </row>
    <row r="52" spans="16:37" outlineLevel="1" x14ac:dyDescent="0.3">
      <c r="P52" s="38" t="str">
        <f>IF('Inputs &amp; Summary'!O50="","",IF('Inputs &amp; Summary'!O50=0,"At Issue",'Inputs &amp; Summary'!P50))</f>
        <v/>
      </c>
      <c r="Q52" s="30" t="str">
        <f>IF($P52="","",'Inputs &amp; Summary'!O50)</f>
        <v/>
      </c>
      <c r="R52" s="30" t="str">
        <f>IF($P52="","",'Inputs &amp; Summary'!Q50)</f>
        <v/>
      </c>
      <c r="S52" s="39" t="str" cm="1">
        <f t="array" aca="1" ref="S52" ca="1">IF($P52="","",IF(S$11="",0,IFERROR(INDEX(INDIRECT(S$6&amp;VLOOKUP(Summary,Ref!$Y$13:$AC$18,3,FALSE)),MATCH(IF($P52="At Issue",VLOOKUP(Summary,Ref!$Y$13:$AC$18,2,FALSE),$P52),INDIRECT(S$6&amp;VLOOKUP(Summary,Ref!$Y$13:$AC$18,4,FALSE)),0),VLOOKUP(S$10,Ref!$Y$61:$AA$63,2,FALSE)),0)))</f>
        <v/>
      </c>
      <c r="T52" s="39" t="str" cm="1">
        <f t="array" aca="1" ref="T52" ca="1">IF($P52="","",IF(T$11="",0,IFERROR(INDEX(INDIRECT(T$6&amp;VLOOKUP(Summary,Ref!$Y$13:$AC$18,3,FALSE)),MATCH(IF($P52="At Issue",VLOOKUP(Summary,Ref!$Y$13:$AC$18,2,FALSE),$P52),INDIRECT(T$6&amp;VLOOKUP(Summary,Ref!$Y$13:$AC$18,4,FALSE)),0),VLOOKUP(T$10,Ref!$Y$61:$AA$63,2,FALSE)),0)))</f>
        <v/>
      </c>
      <c r="U52" s="39" t="str" cm="1">
        <f t="array" aca="1" ref="U52" ca="1">IF($P52="","",IF(U$11="",0,IFERROR(INDEX(INDIRECT(U$6&amp;VLOOKUP(Summary,Ref!$Y$13:$AC$18,3,FALSE)),MATCH(IF($P52="At Issue",VLOOKUP(Summary,Ref!$Y$13:$AC$18,2,FALSE),$P52),INDIRECT(U$6&amp;VLOOKUP(Summary,Ref!$Y$13:$AC$18,4,FALSE)),0),VLOOKUP(U$10,Ref!$Y$61:$AA$63,2,FALSE)),0)))</f>
        <v/>
      </c>
      <c r="V52" s="39" t="str" cm="1">
        <f t="array" aca="1" ref="V52" ca="1">IF($P52="","",IF(V$11="",0,IFERROR(INDEX(INDIRECT(V$6&amp;VLOOKUP(Summary,Ref!$Y$13:$AC$18,3,FALSE)),MATCH(IF($P52="At Issue",VLOOKUP(Summary,Ref!$Y$13:$AC$18,2,FALSE),$P52),INDIRECT(V$6&amp;VLOOKUP(Summary,Ref!$Y$13:$AC$18,4,FALSE)),0),VLOOKUP(V$10,Ref!$Y$61:$AA$63,2,FALSE)),0)))</f>
        <v/>
      </c>
      <c r="W52" s="39" t="str" cm="1">
        <f t="array" aca="1" ref="W52" ca="1">IF($P52="","",IF(W$11="",0,IFERROR(INDEX(INDIRECT(W$6&amp;VLOOKUP(Summary,Ref!$Y$13:$AC$18,3,FALSE)),MATCH(IF($P52="At Issue",VLOOKUP(Summary,Ref!$Y$13:$AC$18,2,FALSE),$P52),INDIRECT(W$6&amp;VLOOKUP(Summary,Ref!$Y$13:$AC$18,4,FALSE)),0),VLOOKUP(W$10,Ref!$Y$61:$AA$63,2,FALSE)),0)))</f>
        <v/>
      </c>
      <c r="X52" s="32" t="str">
        <f>IF($P52="","",'Inputs &amp; Summary'!S50)</f>
        <v/>
      </c>
      <c r="Y52" s="40" t="str">
        <f>IF($P52="","",'Inputs &amp; Summary'!T50)</f>
        <v/>
      </c>
      <c r="Z52" s="41" t="str">
        <f>IF($P52="","",IF($Z$11="",0,'Inputs &amp; Summary'!X50))</f>
        <v/>
      </c>
      <c r="AA52" s="36" t="str">
        <f>IF($P52="","",IF($AA$11="",0,IF(AND(LivBen&lt;&gt;"None",RIGHT(Category,2)&lt;&gt;"NY"),'Inputs &amp; Summary'!AH50,"")))</f>
        <v/>
      </c>
      <c r="AB52" s="36" t="str">
        <f>IF($P52="","",'Inputs &amp; Summary'!Y50)</f>
        <v/>
      </c>
      <c r="AC52" s="36" t="str">
        <f>IF($P52="","",IF(RIGHT(Category,2)="NY",'Inputs &amp; Summary'!AH50,SUM('Inputs &amp; Summary'!AB50,'Inputs &amp; Summary'!AE50*('Inputs &amp; Summary'!AD50="Yes"),'Inputs &amp; Summary'!AG50)))</f>
        <v/>
      </c>
      <c r="AD52" s="40" t="str">
        <f>IF($P52="","",'Inputs &amp; Summary'!AI50)</f>
        <v/>
      </c>
      <c r="AE52" s="36" t="str">
        <f>IF($P52="","",'Inputs &amp; Summary'!Z50)</f>
        <v/>
      </c>
      <c r="AF52" s="36" t="str">
        <f>IF($P52="","",'Inputs &amp; Summary'!U50)</f>
        <v/>
      </c>
      <c r="AG52" s="36" t="str">
        <f>IF($P52="","",'Inputs &amp; Summary'!V50)</f>
        <v/>
      </c>
      <c r="AH52" s="36" t="str">
        <f>IF($P52="","",'Inputs &amp; Summary'!W50)</f>
        <v/>
      </c>
      <c r="AI52" s="36" t="str">
        <f>IF($P52="","",IF($AI$11="",0,'Inputs &amp; Summary'!AM50))</f>
        <v/>
      </c>
      <c r="AJ52" s="36" t="str">
        <f>IF($P52="","",IF($AJ$11="",0,IF(PTab="P7",'Inputs &amp; Summary'!AQ50,'Inputs &amp; Summary'!AA50)))</f>
        <v/>
      </c>
      <c r="AK52" s="37" t="str">
        <f>IF($P52="","",'Inputs &amp; Summary'!AJ50)</f>
        <v/>
      </c>
    </row>
    <row r="53" spans="16:37" outlineLevel="1" x14ac:dyDescent="0.3">
      <c r="P53" s="38" t="str">
        <f>IF('Inputs &amp; Summary'!O51="","",IF('Inputs &amp; Summary'!O51=0,"At Issue",'Inputs &amp; Summary'!P51))</f>
        <v/>
      </c>
      <c r="Q53" s="30" t="str">
        <f>IF($P53="","",'Inputs &amp; Summary'!O51)</f>
        <v/>
      </c>
      <c r="R53" s="30" t="str">
        <f>IF($P53="","",'Inputs &amp; Summary'!Q51)</f>
        <v/>
      </c>
      <c r="S53" s="39" t="str" cm="1">
        <f t="array" aca="1" ref="S53" ca="1">IF($P53="","",IF(S$11="",0,IFERROR(INDEX(INDIRECT(S$6&amp;VLOOKUP(Summary,Ref!$Y$13:$AC$18,3,FALSE)),MATCH(IF($P53="At Issue",VLOOKUP(Summary,Ref!$Y$13:$AC$18,2,FALSE),$P53),INDIRECT(S$6&amp;VLOOKUP(Summary,Ref!$Y$13:$AC$18,4,FALSE)),0),VLOOKUP(S$10,Ref!$Y$61:$AA$63,2,FALSE)),0)))</f>
        <v/>
      </c>
      <c r="T53" s="39" t="str" cm="1">
        <f t="array" aca="1" ref="T53" ca="1">IF($P53="","",IF(T$11="",0,IFERROR(INDEX(INDIRECT(T$6&amp;VLOOKUP(Summary,Ref!$Y$13:$AC$18,3,FALSE)),MATCH(IF($P53="At Issue",VLOOKUP(Summary,Ref!$Y$13:$AC$18,2,FALSE),$P53),INDIRECT(T$6&amp;VLOOKUP(Summary,Ref!$Y$13:$AC$18,4,FALSE)),0),VLOOKUP(T$10,Ref!$Y$61:$AA$63,2,FALSE)),0)))</f>
        <v/>
      </c>
      <c r="U53" s="39" t="str" cm="1">
        <f t="array" aca="1" ref="U53" ca="1">IF($P53="","",IF(U$11="",0,IFERROR(INDEX(INDIRECT(U$6&amp;VLOOKUP(Summary,Ref!$Y$13:$AC$18,3,FALSE)),MATCH(IF($P53="At Issue",VLOOKUP(Summary,Ref!$Y$13:$AC$18,2,FALSE),$P53),INDIRECT(U$6&amp;VLOOKUP(Summary,Ref!$Y$13:$AC$18,4,FALSE)),0),VLOOKUP(U$10,Ref!$Y$61:$AA$63,2,FALSE)),0)))</f>
        <v/>
      </c>
      <c r="V53" s="39" t="str" cm="1">
        <f t="array" aca="1" ref="V53" ca="1">IF($P53="","",IF(V$11="",0,IFERROR(INDEX(INDIRECT(V$6&amp;VLOOKUP(Summary,Ref!$Y$13:$AC$18,3,FALSE)),MATCH(IF($P53="At Issue",VLOOKUP(Summary,Ref!$Y$13:$AC$18,2,FALSE),$P53),INDIRECT(V$6&amp;VLOOKUP(Summary,Ref!$Y$13:$AC$18,4,FALSE)),0),VLOOKUP(V$10,Ref!$Y$61:$AA$63,2,FALSE)),0)))</f>
        <v/>
      </c>
      <c r="W53" s="39" t="str" cm="1">
        <f t="array" aca="1" ref="W53" ca="1">IF($P53="","",IF(W$11="",0,IFERROR(INDEX(INDIRECT(W$6&amp;VLOOKUP(Summary,Ref!$Y$13:$AC$18,3,FALSE)),MATCH(IF($P53="At Issue",VLOOKUP(Summary,Ref!$Y$13:$AC$18,2,FALSE),$P53),INDIRECT(W$6&amp;VLOOKUP(Summary,Ref!$Y$13:$AC$18,4,FALSE)),0),VLOOKUP(W$10,Ref!$Y$61:$AA$63,2,FALSE)),0)))</f>
        <v/>
      </c>
      <c r="X53" s="32" t="str">
        <f>IF($P53="","",'Inputs &amp; Summary'!S51)</f>
        <v/>
      </c>
      <c r="Y53" s="40" t="str">
        <f>IF($P53="","",'Inputs &amp; Summary'!T51)</f>
        <v/>
      </c>
      <c r="Z53" s="41" t="str">
        <f>IF($P53="","",IF($Z$11="",0,'Inputs &amp; Summary'!X51))</f>
        <v/>
      </c>
      <c r="AA53" s="36" t="str">
        <f>IF($P53="","",IF($AA$11="",0,IF(AND(LivBen&lt;&gt;"None",RIGHT(Category,2)&lt;&gt;"NY"),'Inputs &amp; Summary'!AH51,"")))</f>
        <v/>
      </c>
      <c r="AB53" s="36" t="str">
        <f>IF($P53="","",'Inputs &amp; Summary'!Y51)</f>
        <v/>
      </c>
      <c r="AC53" s="36" t="str">
        <f>IF($P53="","",IF(RIGHT(Category,2)="NY",'Inputs &amp; Summary'!AH51,SUM('Inputs &amp; Summary'!AB51,'Inputs &amp; Summary'!AE51*('Inputs &amp; Summary'!AD51="Yes"),'Inputs &amp; Summary'!AG51)))</f>
        <v/>
      </c>
      <c r="AD53" s="40" t="str">
        <f>IF($P53="","",'Inputs &amp; Summary'!AI51)</f>
        <v/>
      </c>
      <c r="AE53" s="36" t="str">
        <f>IF($P53="","",'Inputs &amp; Summary'!Z51)</f>
        <v/>
      </c>
      <c r="AF53" s="36" t="str">
        <f>IF($P53="","",'Inputs &amp; Summary'!U51)</f>
        <v/>
      </c>
      <c r="AG53" s="36" t="str">
        <f>IF($P53="","",'Inputs &amp; Summary'!V51)</f>
        <v/>
      </c>
      <c r="AH53" s="36" t="str">
        <f>IF($P53="","",'Inputs &amp; Summary'!W51)</f>
        <v/>
      </c>
      <c r="AI53" s="36" t="str">
        <f>IF($P53="","",IF($AI$11="",0,'Inputs &amp; Summary'!AM51))</f>
        <v/>
      </c>
      <c r="AJ53" s="36" t="str">
        <f>IF($P53="","",IF($AJ$11="",0,IF(PTab="P7",'Inputs &amp; Summary'!AQ51,'Inputs &amp; Summary'!AA51)))</f>
        <v/>
      </c>
      <c r="AK53" s="37" t="str">
        <f>IF($P53="","",'Inputs &amp; Summary'!AJ51)</f>
        <v/>
      </c>
    </row>
    <row r="54" spans="16:37" outlineLevel="1" x14ac:dyDescent="0.3">
      <c r="P54" s="38" t="str">
        <f>IF('Inputs &amp; Summary'!O52="","",IF('Inputs &amp; Summary'!O52=0,"At Issue",'Inputs &amp; Summary'!P52))</f>
        <v/>
      </c>
      <c r="Q54" s="30" t="str">
        <f>IF($P54="","",'Inputs &amp; Summary'!O52)</f>
        <v/>
      </c>
      <c r="R54" s="30" t="str">
        <f>IF($P54="","",'Inputs &amp; Summary'!Q52)</f>
        <v/>
      </c>
      <c r="S54" s="39" t="str" cm="1">
        <f t="array" aca="1" ref="S54" ca="1">IF($P54="","",IF(S$11="",0,IFERROR(INDEX(INDIRECT(S$6&amp;VLOOKUP(Summary,Ref!$Y$13:$AC$18,3,FALSE)),MATCH(IF($P54="At Issue",VLOOKUP(Summary,Ref!$Y$13:$AC$18,2,FALSE),$P54),INDIRECT(S$6&amp;VLOOKUP(Summary,Ref!$Y$13:$AC$18,4,FALSE)),0),VLOOKUP(S$10,Ref!$Y$61:$AA$63,2,FALSE)),0)))</f>
        <v/>
      </c>
      <c r="T54" s="39" t="str" cm="1">
        <f t="array" aca="1" ref="T54" ca="1">IF($P54="","",IF(T$11="",0,IFERROR(INDEX(INDIRECT(T$6&amp;VLOOKUP(Summary,Ref!$Y$13:$AC$18,3,FALSE)),MATCH(IF($P54="At Issue",VLOOKUP(Summary,Ref!$Y$13:$AC$18,2,FALSE),$P54),INDIRECT(T$6&amp;VLOOKUP(Summary,Ref!$Y$13:$AC$18,4,FALSE)),0),VLOOKUP(T$10,Ref!$Y$61:$AA$63,2,FALSE)),0)))</f>
        <v/>
      </c>
      <c r="U54" s="39" t="str" cm="1">
        <f t="array" aca="1" ref="U54" ca="1">IF($P54="","",IF(U$11="",0,IFERROR(INDEX(INDIRECT(U$6&amp;VLOOKUP(Summary,Ref!$Y$13:$AC$18,3,FALSE)),MATCH(IF($P54="At Issue",VLOOKUP(Summary,Ref!$Y$13:$AC$18,2,FALSE),$P54),INDIRECT(U$6&amp;VLOOKUP(Summary,Ref!$Y$13:$AC$18,4,FALSE)),0),VLOOKUP(U$10,Ref!$Y$61:$AA$63,2,FALSE)),0)))</f>
        <v/>
      </c>
      <c r="V54" s="39" t="str" cm="1">
        <f t="array" aca="1" ref="V54" ca="1">IF($P54="","",IF(V$11="",0,IFERROR(INDEX(INDIRECT(V$6&amp;VLOOKUP(Summary,Ref!$Y$13:$AC$18,3,FALSE)),MATCH(IF($P54="At Issue",VLOOKUP(Summary,Ref!$Y$13:$AC$18,2,FALSE),$P54),INDIRECT(V$6&amp;VLOOKUP(Summary,Ref!$Y$13:$AC$18,4,FALSE)),0),VLOOKUP(V$10,Ref!$Y$61:$AA$63,2,FALSE)),0)))</f>
        <v/>
      </c>
      <c r="W54" s="39" t="str" cm="1">
        <f t="array" aca="1" ref="W54" ca="1">IF($P54="","",IF(W$11="",0,IFERROR(INDEX(INDIRECT(W$6&amp;VLOOKUP(Summary,Ref!$Y$13:$AC$18,3,FALSE)),MATCH(IF($P54="At Issue",VLOOKUP(Summary,Ref!$Y$13:$AC$18,2,FALSE),$P54),INDIRECT(W$6&amp;VLOOKUP(Summary,Ref!$Y$13:$AC$18,4,FALSE)),0),VLOOKUP(W$10,Ref!$Y$61:$AA$63,2,FALSE)),0)))</f>
        <v/>
      </c>
      <c r="X54" s="32" t="str">
        <f>IF($P54="","",'Inputs &amp; Summary'!S52)</f>
        <v/>
      </c>
      <c r="Y54" s="40" t="str">
        <f>IF($P54="","",'Inputs &amp; Summary'!T52)</f>
        <v/>
      </c>
      <c r="Z54" s="41" t="str">
        <f>IF($P54="","",IF($Z$11="",0,'Inputs &amp; Summary'!X52))</f>
        <v/>
      </c>
      <c r="AA54" s="36" t="str">
        <f>IF($P54="","",IF($AA$11="",0,IF(AND(LivBen&lt;&gt;"None",RIGHT(Category,2)&lt;&gt;"NY"),'Inputs &amp; Summary'!AH52,"")))</f>
        <v/>
      </c>
      <c r="AB54" s="36" t="str">
        <f>IF($P54="","",'Inputs &amp; Summary'!Y52)</f>
        <v/>
      </c>
      <c r="AC54" s="36" t="str">
        <f>IF($P54="","",IF(RIGHT(Category,2)="NY",'Inputs &amp; Summary'!AH52,SUM('Inputs &amp; Summary'!AB52,'Inputs &amp; Summary'!AE52*('Inputs &amp; Summary'!AD52="Yes"),'Inputs &amp; Summary'!AG52)))</f>
        <v/>
      </c>
      <c r="AD54" s="40" t="str">
        <f>IF($P54="","",'Inputs &amp; Summary'!AI52)</f>
        <v/>
      </c>
      <c r="AE54" s="36" t="str">
        <f>IF($P54="","",'Inputs &amp; Summary'!Z52)</f>
        <v/>
      </c>
      <c r="AF54" s="36" t="str">
        <f>IF($P54="","",'Inputs &amp; Summary'!U52)</f>
        <v/>
      </c>
      <c r="AG54" s="36" t="str">
        <f>IF($P54="","",'Inputs &amp; Summary'!V52)</f>
        <v/>
      </c>
      <c r="AH54" s="36" t="str">
        <f>IF($P54="","",'Inputs &amp; Summary'!W52)</f>
        <v/>
      </c>
      <c r="AI54" s="36" t="str">
        <f>IF($P54="","",IF($AI$11="",0,'Inputs &amp; Summary'!AM52))</f>
        <v/>
      </c>
      <c r="AJ54" s="36" t="str">
        <f>IF($P54="","",IF($AJ$11="",0,IF(PTab="P7",'Inputs &amp; Summary'!AQ52,'Inputs &amp; Summary'!AA52)))</f>
        <v/>
      </c>
      <c r="AK54" s="37" t="str">
        <f>IF($P54="","",'Inputs &amp; Summary'!AJ52)</f>
        <v/>
      </c>
    </row>
    <row r="55" spans="16:37" outlineLevel="1" x14ac:dyDescent="0.3">
      <c r="P55" s="38" t="str">
        <f>IF('Inputs &amp; Summary'!O53="","",IF('Inputs &amp; Summary'!O53=0,"At Issue",'Inputs &amp; Summary'!P53))</f>
        <v/>
      </c>
      <c r="Q55" s="30" t="str">
        <f>IF($P55="","",'Inputs &amp; Summary'!O53)</f>
        <v/>
      </c>
      <c r="R55" s="30" t="str">
        <f>IF($P55="","",'Inputs &amp; Summary'!Q53)</f>
        <v/>
      </c>
      <c r="S55" s="39" t="str" cm="1">
        <f t="array" aca="1" ref="S55" ca="1">IF($P55="","",IF(S$11="",0,IFERROR(INDEX(INDIRECT(S$6&amp;VLOOKUP(Summary,Ref!$Y$13:$AC$18,3,FALSE)),MATCH(IF($P55="At Issue",VLOOKUP(Summary,Ref!$Y$13:$AC$18,2,FALSE),$P55),INDIRECT(S$6&amp;VLOOKUP(Summary,Ref!$Y$13:$AC$18,4,FALSE)),0),VLOOKUP(S$10,Ref!$Y$61:$AA$63,2,FALSE)),0)))</f>
        <v/>
      </c>
      <c r="T55" s="39" t="str" cm="1">
        <f t="array" aca="1" ref="T55" ca="1">IF($P55="","",IF(T$11="",0,IFERROR(INDEX(INDIRECT(T$6&amp;VLOOKUP(Summary,Ref!$Y$13:$AC$18,3,FALSE)),MATCH(IF($P55="At Issue",VLOOKUP(Summary,Ref!$Y$13:$AC$18,2,FALSE),$P55),INDIRECT(T$6&amp;VLOOKUP(Summary,Ref!$Y$13:$AC$18,4,FALSE)),0),VLOOKUP(T$10,Ref!$Y$61:$AA$63,2,FALSE)),0)))</f>
        <v/>
      </c>
      <c r="U55" s="39" t="str" cm="1">
        <f t="array" aca="1" ref="U55" ca="1">IF($P55="","",IF(U$11="",0,IFERROR(INDEX(INDIRECT(U$6&amp;VLOOKUP(Summary,Ref!$Y$13:$AC$18,3,FALSE)),MATCH(IF($P55="At Issue",VLOOKUP(Summary,Ref!$Y$13:$AC$18,2,FALSE),$P55),INDIRECT(U$6&amp;VLOOKUP(Summary,Ref!$Y$13:$AC$18,4,FALSE)),0),VLOOKUP(U$10,Ref!$Y$61:$AA$63,2,FALSE)),0)))</f>
        <v/>
      </c>
      <c r="V55" s="39" t="str" cm="1">
        <f t="array" aca="1" ref="V55" ca="1">IF($P55="","",IF(V$11="",0,IFERROR(INDEX(INDIRECT(V$6&amp;VLOOKUP(Summary,Ref!$Y$13:$AC$18,3,FALSE)),MATCH(IF($P55="At Issue",VLOOKUP(Summary,Ref!$Y$13:$AC$18,2,FALSE),$P55),INDIRECT(V$6&amp;VLOOKUP(Summary,Ref!$Y$13:$AC$18,4,FALSE)),0),VLOOKUP(V$10,Ref!$Y$61:$AA$63,2,FALSE)),0)))</f>
        <v/>
      </c>
      <c r="W55" s="39" t="str" cm="1">
        <f t="array" aca="1" ref="W55" ca="1">IF($P55="","",IF(W$11="",0,IFERROR(INDEX(INDIRECT(W$6&amp;VLOOKUP(Summary,Ref!$Y$13:$AC$18,3,FALSE)),MATCH(IF($P55="At Issue",VLOOKUP(Summary,Ref!$Y$13:$AC$18,2,FALSE),$P55),INDIRECT(W$6&amp;VLOOKUP(Summary,Ref!$Y$13:$AC$18,4,FALSE)),0),VLOOKUP(W$10,Ref!$Y$61:$AA$63,2,FALSE)),0)))</f>
        <v/>
      </c>
      <c r="X55" s="32" t="str">
        <f>IF($P55="","",'Inputs &amp; Summary'!S53)</f>
        <v/>
      </c>
      <c r="Y55" s="40" t="str">
        <f>IF($P55="","",'Inputs &amp; Summary'!T53)</f>
        <v/>
      </c>
      <c r="Z55" s="41" t="str">
        <f>IF($P55="","",IF($Z$11="",0,'Inputs &amp; Summary'!X53))</f>
        <v/>
      </c>
      <c r="AA55" s="36" t="str">
        <f>IF($P55="","",IF($AA$11="",0,IF(AND(LivBen&lt;&gt;"None",RIGHT(Category,2)&lt;&gt;"NY"),'Inputs &amp; Summary'!AH53,"")))</f>
        <v/>
      </c>
      <c r="AB55" s="36" t="str">
        <f>IF($P55="","",'Inputs &amp; Summary'!Y53)</f>
        <v/>
      </c>
      <c r="AC55" s="36" t="str">
        <f>IF($P55="","",IF(RIGHT(Category,2)="NY",'Inputs &amp; Summary'!AH53,SUM('Inputs &amp; Summary'!AB53,'Inputs &amp; Summary'!AE53*('Inputs &amp; Summary'!AD53="Yes"),'Inputs &amp; Summary'!AG53)))</f>
        <v/>
      </c>
      <c r="AD55" s="40" t="str">
        <f>IF($P55="","",'Inputs &amp; Summary'!AI53)</f>
        <v/>
      </c>
      <c r="AE55" s="36" t="str">
        <f>IF($P55="","",'Inputs &amp; Summary'!Z53)</f>
        <v/>
      </c>
      <c r="AF55" s="36" t="str">
        <f>IF($P55="","",'Inputs &amp; Summary'!U53)</f>
        <v/>
      </c>
      <c r="AG55" s="36" t="str">
        <f>IF($P55="","",'Inputs &amp; Summary'!V53)</f>
        <v/>
      </c>
      <c r="AH55" s="36" t="str">
        <f>IF($P55="","",'Inputs &amp; Summary'!W53)</f>
        <v/>
      </c>
      <c r="AI55" s="36" t="str">
        <f>IF($P55="","",IF($AI$11="",0,'Inputs &amp; Summary'!AM53))</f>
        <v/>
      </c>
      <c r="AJ55" s="36" t="str">
        <f>IF($P55="","",IF($AJ$11="",0,IF(PTab="P7",'Inputs &amp; Summary'!AQ53,'Inputs &amp; Summary'!AA53)))</f>
        <v/>
      </c>
      <c r="AK55" s="37" t="str">
        <f>IF($P55="","",'Inputs &amp; Summary'!AJ53)</f>
        <v/>
      </c>
    </row>
    <row r="56" spans="16:37" outlineLevel="1" x14ac:dyDescent="0.3">
      <c r="P56" s="38" t="str">
        <f>IF('Inputs &amp; Summary'!O54="","",IF('Inputs &amp; Summary'!O54=0,"At Issue",'Inputs &amp; Summary'!P54))</f>
        <v/>
      </c>
      <c r="Q56" s="30" t="str">
        <f>IF($P56="","",'Inputs &amp; Summary'!O54)</f>
        <v/>
      </c>
      <c r="R56" s="30" t="str">
        <f>IF($P56="","",'Inputs &amp; Summary'!Q54)</f>
        <v/>
      </c>
      <c r="S56" s="39" t="str" cm="1">
        <f t="array" aca="1" ref="S56" ca="1">IF($P56="","",IF(S$11="",0,IFERROR(INDEX(INDIRECT(S$6&amp;VLOOKUP(Summary,Ref!$Y$13:$AC$18,3,FALSE)),MATCH(IF($P56="At Issue",VLOOKUP(Summary,Ref!$Y$13:$AC$18,2,FALSE),$P56),INDIRECT(S$6&amp;VLOOKUP(Summary,Ref!$Y$13:$AC$18,4,FALSE)),0),VLOOKUP(S$10,Ref!$Y$61:$AA$63,2,FALSE)),0)))</f>
        <v/>
      </c>
      <c r="T56" s="39" t="str" cm="1">
        <f t="array" aca="1" ref="T56" ca="1">IF($P56="","",IF(T$11="",0,IFERROR(INDEX(INDIRECT(T$6&amp;VLOOKUP(Summary,Ref!$Y$13:$AC$18,3,FALSE)),MATCH(IF($P56="At Issue",VLOOKUP(Summary,Ref!$Y$13:$AC$18,2,FALSE),$P56),INDIRECT(T$6&amp;VLOOKUP(Summary,Ref!$Y$13:$AC$18,4,FALSE)),0),VLOOKUP(T$10,Ref!$Y$61:$AA$63,2,FALSE)),0)))</f>
        <v/>
      </c>
      <c r="U56" s="39" t="str" cm="1">
        <f t="array" aca="1" ref="U56" ca="1">IF($P56="","",IF(U$11="",0,IFERROR(INDEX(INDIRECT(U$6&amp;VLOOKUP(Summary,Ref!$Y$13:$AC$18,3,FALSE)),MATCH(IF($P56="At Issue",VLOOKUP(Summary,Ref!$Y$13:$AC$18,2,FALSE),$P56),INDIRECT(U$6&amp;VLOOKUP(Summary,Ref!$Y$13:$AC$18,4,FALSE)),0),VLOOKUP(U$10,Ref!$Y$61:$AA$63,2,FALSE)),0)))</f>
        <v/>
      </c>
      <c r="V56" s="39" t="str" cm="1">
        <f t="array" aca="1" ref="V56" ca="1">IF($P56="","",IF(V$11="",0,IFERROR(INDEX(INDIRECT(V$6&amp;VLOOKUP(Summary,Ref!$Y$13:$AC$18,3,FALSE)),MATCH(IF($P56="At Issue",VLOOKUP(Summary,Ref!$Y$13:$AC$18,2,FALSE),$P56),INDIRECT(V$6&amp;VLOOKUP(Summary,Ref!$Y$13:$AC$18,4,FALSE)),0),VLOOKUP(V$10,Ref!$Y$61:$AA$63,2,FALSE)),0)))</f>
        <v/>
      </c>
      <c r="W56" s="39" t="str" cm="1">
        <f t="array" aca="1" ref="W56" ca="1">IF($P56="","",IF(W$11="",0,IFERROR(INDEX(INDIRECT(W$6&amp;VLOOKUP(Summary,Ref!$Y$13:$AC$18,3,FALSE)),MATCH(IF($P56="At Issue",VLOOKUP(Summary,Ref!$Y$13:$AC$18,2,FALSE),$P56),INDIRECT(W$6&amp;VLOOKUP(Summary,Ref!$Y$13:$AC$18,4,FALSE)),0),VLOOKUP(W$10,Ref!$Y$61:$AA$63,2,FALSE)),0)))</f>
        <v/>
      </c>
      <c r="X56" s="32" t="str">
        <f>IF($P56="","",'Inputs &amp; Summary'!S54)</f>
        <v/>
      </c>
      <c r="Y56" s="40" t="str">
        <f>IF($P56="","",'Inputs &amp; Summary'!T54)</f>
        <v/>
      </c>
      <c r="Z56" s="41" t="str">
        <f>IF($P56="","",IF($Z$11="",0,'Inputs &amp; Summary'!X54))</f>
        <v/>
      </c>
      <c r="AA56" s="36" t="str">
        <f>IF($P56="","",IF($AA$11="",0,IF(AND(LivBen&lt;&gt;"None",RIGHT(Category,2)&lt;&gt;"NY"),'Inputs &amp; Summary'!AH54,"")))</f>
        <v/>
      </c>
      <c r="AB56" s="36" t="str">
        <f>IF($P56="","",'Inputs &amp; Summary'!Y54)</f>
        <v/>
      </c>
      <c r="AC56" s="36" t="str">
        <f>IF($P56="","",IF(RIGHT(Category,2)="NY",'Inputs &amp; Summary'!AH54,SUM('Inputs &amp; Summary'!AB54,'Inputs &amp; Summary'!AE54*('Inputs &amp; Summary'!AD54="Yes"),'Inputs &amp; Summary'!AG54)))</f>
        <v/>
      </c>
      <c r="AD56" s="40" t="str">
        <f>IF($P56="","",'Inputs &amp; Summary'!AI54)</f>
        <v/>
      </c>
      <c r="AE56" s="36" t="str">
        <f>IF($P56="","",'Inputs &amp; Summary'!Z54)</f>
        <v/>
      </c>
      <c r="AF56" s="36" t="str">
        <f>IF($P56="","",'Inputs &amp; Summary'!U54)</f>
        <v/>
      </c>
      <c r="AG56" s="36" t="str">
        <f>IF($P56="","",'Inputs &amp; Summary'!V54)</f>
        <v/>
      </c>
      <c r="AH56" s="36" t="str">
        <f>IF($P56="","",'Inputs &amp; Summary'!W54)</f>
        <v/>
      </c>
      <c r="AI56" s="36" t="str">
        <f>IF($P56="","",IF($AI$11="",0,'Inputs &amp; Summary'!AM54))</f>
        <v/>
      </c>
      <c r="AJ56" s="36" t="str">
        <f>IF($P56="","",IF($AJ$11="",0,IF(PTab="P7",'Inputs &amp; Summary'!AQ54,'Inputs &amp; Summary'!AA54)))</f>
        <v/>
      </c>
      <c r="AK56" s="37" t="str">
        <f>IF($P56="","",'Inputs &amp; Summary'!AJ54)</f>
        <v/>
      </c>
    </row>
    <row r="57" spans="16:37" outlineLevel="1" x14ac:dyDescent="0.3">
      <c r="P57" s="38" t="str">
        <f>IF('Inputs &amp; Summary'!O55="","",IF('Inputs &amp; Summary'!O55=0,"At Issue",'Inputs &amp; Summary'!P55))</f>
        <v/>
      </c>
      <c r="Q57" s="30" t="str">
        <f>IF($P57="","",'Inputs &amp; Summary'!O55)</f>
        <v/>
      </c>
      <c r="R57" s="30" t="str">
        <f>IF($P57="","",'Inputs &amp; Summary'!Q55)</f>
        <v/>
      </c>
      <c r="S57" s="39" t="str" cm="1">
        <f t="array" aca="1" ref="S57" ca="1">IF($P57="","",IF(S$11="",0,IFERROR(INDEX(INDIRECT(S$6&amp;VLOOKUP(Summary,Ref!$Y$13:$AC$18,3,FALSE)),MATCH(IF($P57="At Issue",VLOOKUP(Summary,Ref!$Y$13:$AC$18,2,FALSE),$P57),INDIRECT(S$6&amp;VLOOKUP(Summary,Ref!$Y$13:$AC$18,4,FALSE)),0),VLOOKUP(S$10,Ref!$Y$61:$AA$63,2,FALSE)),0)))</f>
        <v/>
      </c>
      <c r="T57" s="39" t="str" cm="1">
        <f t="array" aca="1" ref="T57" ca="1">IF($P57="","",IF(T$11="",0,IFERROR(INDEX(INDIRECT(T$6&amp;VLOOKUP(Summary,Ref!$Y$13:$AC$18,3,FALSE)),MATCH(IF($P57="At Issue",VLOOKUP(Summary,Ref!$Y$13:$AC$18,2,FALSE),$P57),INDIRECT(T$6&amp;VLOOKUP(Summary,Ref!$Y$13:$AC$18,4,FALSE)),0),VLOOKUP(T$10,Ref!$Y$61:$AA$63,2,FALSE)),0)))</f>
        <v/>
      </c>
      <c r="U57" s="39" t="str" cm="1">
        <f t="array" aca="1" ref="U57" ca="1">IF($P57="","",IF(U$11="",0,IFERROR(INDEX(INDIRECT(U$6&amp;VLOOKUP(Summary,Ref!$Y$13:$AC$18,3,FALSE)),MATCH(IF($P57="At Issue",VLOOKUP(Summary,Ref!$Y$13:$AC$18,2,FALSE),$P57),INDIRECT(U$6&amp;VLOOKUP(Summary,Ref!$Y$13:$AC$18,4,FALSE)),0),VLOOKUP(U$10,Ref!$Y$61:$AA$63,2,FALSE)),0)))</f>
        <v/>
      </c>
      <c r="V57" s="39" t="str" cm="1">
        <f t="array" aca="1" ref="V57" ca="1">IF($P57="","",IF(V$11="",0,IFERROR(INDEX(INDIRECT(V$6&amp;VLOOKUP(Summary,Ref!$Y$13:$AC$18,3,FALSE)),MATCH(IF($P57="At Issue",VLOOKUP(Summary,Ref!$Y$13:$AC$18,2,FALSE),$P57),INDIRECT(V$6&amp;VLOOKUP(Summary,Ref!$Y$13:$AC$18,4,FALSE)),0),VLOOKUP(V$10,Ref!$Y$61:$AA$63,2,FALSE)),0)))</f>
        <v/>
      </c>
      <c r="W57" s="39" t="str" cm="1">
        <f t="array" aca="1" ref="W57" ca="1">IF($P57="","",IF(W$11="",0,IFERROR(INDEX(INDIRECT(W$6&amp;VLOOKUP(Summary,Ref!$Y$13:$AC$18,3,FALSE)),MATCH(IF($P57="At Issue",VLOOKUP(Summary,Ref!$Y$13:$AC$18,2,FALSE),$P57),INDIRECT(W$6&amp;VLOOKUP(Summary,Ref!$Y$13:$AC$18,4,FALSE)),0),VLOOKUP(W$10,Ref!$Y$61:$AA$63,2,FALSE)),0)))</f>
        <v/>
      </c>
      <c r="X57" s="32" t="str">
        <f>IF($P57="","",'Inputs &amp; Summary'!S55)</f>
        <v/>
      </c>
      <c r="Y57" s="40" t="str">
        <f>IF($P57="","",'Inputs &amp; Summary'!T55)</f>
        <v/>
      </c>
      <c r="Z57" s="41" t="str">
        <f>IF($P57="","",IF($Z$11="",0,'Inputs &amp; Summary'!X55))</f>
        <v/>
      </c>
      <c r="AA57" s="36" t="str">
        <f>IF($P57="","",IF($AA$11="",0,IF(AND(LivBen&lt;&gt;"None",RIGHT(Category,2)&lt;&gt;"NY"),'Inputs &amp; Summary'!AH55,"")))</f>
        <v/>
      </c>
      <c r="AB57" s="36" t="str">
        <f>IF($P57="","",'Inputs &amp; Summary'!Y55)</f>
        <v/>
      </c>
      <c r="AC57" s="36" t="str">
        <f>IF($P57="","",IF(RIGHT(Category,2)="NY",'Inputs &amp; Summary'!AH55,SUM('Inputs &amp; Summary'!AB55,'Inputs &amp; Summary'!AE55*('Inputs &amp; Summary'!AD55="Yes"),'Inputs &amp; Summary'!AG55)))</f>
        <v/>
      </c>
      <c r="AD57" s="40" t="str">
        <f>IF($P57="","",'Inputs &amp; Summary'!AI55)</f>
        <v/>
      </c>
      <c r="AE57" s="36" t="str">
        <f>IF($P57="","",'Inputs &amp; Summary'!Z55)</f>
        <v/>
      </c>
      <c r="AF57" s="36" t="str">
        <f>IF($P57="","",'Inputs &amp; Summary'!U55)</f>
        <v/>
      </c>
      <c r="AG57" s="36" t="str">
        <f>IF($P57="","",'Inputs &amp; Summary'!V55)</f>
        <v/>
      </c>
      <c r="AH57" s="36" t="str">
        <f>IF($P57="","",'Inputs &amp; Summary'!W55)</f>
        <v/>
      </c>
      <c r="AI57" s="36" t="str">
        <f>IF($P57="","",IF($AI$11="",0,'Inputs &amp; Summary'!AM55))</f>
        <v/>
      </c>
      <c r="AJ57" s="36" t="str">
        <f>IF($P57="","",IF($AJ$11="",0,IF(PTab="P7",'Inputs &amp; Summary'!AQ55,'Inputs &amp; Summary'!AA55)))</f>
        <v/>
      </c>
      <c r="AK57" s="37" t="str">
        <f>IF($P57="","",'Inputs &amp; Summary'!AJ55)</f>
        <v/>
      </c>
    </row>
    <row r="58" spans="16:37" outlineLevel="1" x14ac:dyDescent="0.3">
      <c r="P58" s="38" t="str">
        <f>IF('Inputs &amp; Summary'!O56="","",IF('Inputs &amp; Summary'!O56=0,"At Issue",'Inputs &amp; Summary'!P56))</f>
        <v/>
      </c>
      <c r="Q58" s="30" t="str">
        <f>IF($P58="","",'Inputs &amp; Summary'!O56)</f>
        <v/>
      </c>
      <c r="R58" s="30" t="str">
        <f>IF($P58="","",'Inputs &amp; Summary'!Q56)</f>
        <v/>
      </c>
      <c r="S58" s="39" t="str" cm="1">
        <f t="array" aca="1" ref="S58" ca="1">IF($P58="","",IF(S$11="",0,IFERROR(INDEX(INDIRECT(S$6&amp;VLOOKUP(Summary,Ref!$Y$13:$AC$18,3,FALSE)),MATCH(IF($P58="At Issue",VLOOKUP(Summary,Ref!$Y$13:$AC$18,2,FALSE),$P58),INDIRECT(S$6&amp;VLOOKUP(Summary,Ref!$Y$13:$AC$18,4,FALSE)),0),VLOOKUP(S$10,Ref!$Y$61:$AA$63,2,FALSE)),0)))</f>
        <v/>
      </c>
      <c r="T58" s="39" t="str" cm="1">
        <f t="array" aca="1" ref="T58" ca="1">IF($P58="","",IF(T$11="",0,IFERROR(INDEX(INDIRECT(T$6&amp;VLOOKUP(Summary,Ref!$Y$13:$AC$18,3,FALSE)),MATCH(IF($P58="At Issue",VLOOKUP(Summary,Ref!$Y$13:$AC$18,2,FALSE),$P58),INDIRECT(T$6&amp;VLOOKUP(Summary,Ref!$Y$13:$AC$18,4,FALSE)),0),VLOOKUP(T$10,Ref!$Y$61:$AA$63,2,FALSE)),0)))</f>
        <v/>
      </c>
      <c r="U58" s="39" t="str" cm="1">
        <f t="array" aca="1" ref="U58" ca="1">IF($P58="","",IF(U$11="",0,IFERROR(INDEX(INDIRECT(U$6&amp;VLOOKUP(Summary,Ref!$Y$13:$AC$18,3,FALSE)),MATCH(IF($P58="At Issue",VLOOKUP(Summary,Ref!$Y$13:$AC$18,2,FALSE),$P58),INDIRECT(U$6&amp;VLOOKUP(Summary,Ref!$Y$13:$AC$18,4,FALSE)),0),VLOOKUP(U$10,Ref!$Y$61:$AA$63,2,FALSE)),0)))</f>
        <v/>
      </c>
      <c r="V58" s="39" t="str" cm="1">
        <f t="array" aca="1" ref="V58" ca="1">IF($P58="","",IF(V$11="",0,IFERROR(INDEX(INDIRECT(V$6&amp;VLOOKUP(Summary,Ref!$Y$13:$AC$18,3,FALSE)),MATCH(IF($P58="At Issue",VLOOKUP(Summary,Ref!$Y$13:$AC$18,2,FALSE),$P58),INDIRECT(V$6&amp;VLOOKUP(Summary,Ref!$Y$13:$AC$18,4,FALSE)),0),VLOOKUP(V$10,Ref!$Y$61:$AA$63,2,FALSE)),0)))</f>
        <v/>
      </c>
      <c r="W58" s="39" t="str" cm="1">
        <f t="array" aca="1" ref="W58" ca="1">IF($P58="","",IF(W$11="",0,IFERROR(INDEX(INDIRECT(W$6&amp;VLOOKUP(Summary,Ref!$Y$13:$AC$18,3,FALSE)),MATCH(IF($P58="At Issue",VLOOKUP(Summary,Ref!$Y$13:$AC$18,2,FALSE),$P58),INDIRECT(W$6&amp;VLOOKUP(Summary,Ref!$Y$13:$AC$18,4,FALSE)),0),VLOOKUP(W$10,Ref!$Y$61:$AA$63,2,FALSE)),0)))</f>
        <v/>
      </c>
      <c r="X58" s="32" t="str">
        <f>IF($P58="","",'Inputs &amp; Summary'!S56)</f>
        <v/>
      </c>
      <c r="Y58" s="40" t="str">
        <f>IF($P58="","",'Inputs &amp; Summary'!T56)</f>
        <v/>
      </c>
      <c r="Z58" s="41" t="str">
        <f>IF($P58="","",IF($Z$11="",0,'Inputs &amp; Summary'!X56))</f>
        <v/>
      </c>
      <c r="AA58" s="36" t="str">
        <f>IF($P58="","",IF($AA$11="",0,IF(AND(LivBen&lt;&gt;"None",RIGHT(Category,2)&lt;&gt;"NY"),'Inputs &amp; Summary'!AH56,"")))</f>
        <v/>
      </c>
      <c r="AB58" s="36" t="str">
        <f>IF($P58="","",'Inputs &amp; Summary'!Y56)</f>
        <v/>
      </c>
      <c r="AC58" s="36" t="str">
        <f>IF($P58="","",IF(RIGHT(Category,2)="NY",'Inputs &amp; Summary'!AH56,SUM('Inputs &amp; Summary'!AB56,'Inputs &amp; Summary'!AE56*('Inputs &amp; Summary'!AD56="Yes"),'Inputs &amp; Summary'!AG56)))</f>
        <v/>
      </c>
      <c r="AD58" s="40" t="str">
        <f>IF($P58="","",'Inputs &amp; Summary'!AI56)</f>
        <v/>
      </c>
      <c r="AE58" s="36" t="str">
        <f>IF($P58="","",'Inputs &amp; Summary'!Z56)</f>
        <v/>
      </c>
      <c r="AF58" s="36" t="str">
        <f>IF($P58="","",'Inputs &amp; Summary'!U56)</f>
        <v/>
      </c>
      <c r="AG58" s="36" t="str">
        <f>IF($P58="","",'Inputs &amp; Summary'!V56)</f>
        <v/>
      </c>
      <c r="AH58" s="36" t="str">
        <f>IF($P58="","",'Inputs &amp; Summary'!W56)</f>
        <v/>
      </c>
      <c r="AI58" s="36" t="str">
        <f>IF($P58="","",IF($AI$11="",0,'Inputs &amp; Summary'!AM56))</f>
        <v/>
      </c>
      <c r="AJ58" s="36" t="str">
        <f>IF($P58="","",IF($AJ$11="",0,IF(PTab="P7",'Inputs &amp; Summary'!AQ56,'Inputs &amp; Summary'!AA56)))</f>
        <v/>
      </c>
      <c r="AK58" s="37" t="str">
        <f>IF($P58="","",'Inputs &amp; Summary'!AJ56)</f>
        <v/>
      </c>
    </row>
    <row r="59" spans="16:37" x14ac:dyDescent="0.3">
      <c r="P59" s="59"/>
      <c r="Q59" s="58"/>
      <c r="R59" s="58"/>
      <c r="S59" s="58"/>
      <c r="T59" s="58"/>
      <c r="U59" s="58"/>
      <c r="V59" s="58"/>
      <c r="W59" s="58"/>
      <c r="X59" s="58"/>
      <c r="Y59" s="60"/>
      <c r="Z59" s="61"/>
      <c r="AA59" s="62"/>
      <c r="AB59" s="62"/>
      <c r="AC59" s="62"/>
      <c r="AD59" s="63"/>
      <c r="AE59" s="58"/>
      <c r="AF59" s="58"/>
      <c r="AG59" s="58"/>
      <c r="AH59" s="58"/>
      <c r="AI59" s="58"/>
      <c r="AJ59" s="58"/>
      <c r="AK59" s="64"/>
    </row>
    <row r="60" spans="16:37" x14ac:dyDescent="0.3">
      <c r="P60" s="498" t="s">
        <v>38</v>
      </c>
      <c r="Q60" s="65"/>
      <c r="R60" s="66"/>
      <c r="S60" s="492" t="str" cm="1">
        <f t="array" aca="1" ref="S60" ca="1">TEXT(IFERROR(SUMPRODUCT(GEOMEAN(IF(IF(OR(Summary="Favorable",Summary="Unfavorable",Summary="Most Recent"),INDIRECT("S14:S"&amp;(13+10)),INDIRECT("S14:S"&amp;(13+Projection)))&lt;&gt;"-",IF(IF(OR(Summary="Favorable",Summary="Unfavorable",Summary="Most Recent"),INDIRECT("S14:S"&amp;(13+10)),INDIRECT("S14:S"&amp;(13+Projection)))&lt;&gt;"",IF(OR(Summary="Favorable",Summary="Unfavorable",Summary="Most Recent"),INDIRECT("S14:S"&amp;(13+10)),INDIRECT("S14:S"&amp;(13+Projection)))))+1)-1),"Examine"),"0.00%")&amp;"
Avg Annual"</f>
        <v>Examine
Avg Annual</v>
      </c>
      <c r="T60" s="492" t="str" cm="1">
        <f t="array" aca="1" ref="T60" ca="1">TEXT(IFERROR(SUMPRODUCT(GEOMEAN(IF(IF(OR(Summary="Favorable",Summary="Unfavorable",Summary="Most Recent"),INDIRECT("T14:T"&amp;(13+10)),INDIRECT("T14:T"&amp;(13+Projection)))&lt;&gt;"-",IF(IF(OR(Summary="Favorable",Summary="Unfavorable",Summary="Most Recent"),INDIRECT("T14:T"&amp;(13+10)),INDIRECT("T14:T"&amp;(13+Projection)))&lt;&gt;"",IF(OR(Summary="Favorable",Summary="Unfavorable",Summary="Most Recent"),INDIRECT("T14:T"&amp;(13+10)),INDIRECT("T14:T"&amp;(13+Projection)))))+1)-1),"Examine"),"0.00%")&amp;"
Avg Annual"</f>
        <v>Examine
Avg Annual</v>
      </c>
      <c r="U60" s="492" t="str" cm="1">
        <f t="array" aca="1" ref="U60" ca="1">TEXT(IFERROR(SUMPRODUCT(GEOMEAN(IF(IF(OR(Summary="Favorable",Summary="Unfavorable",Summary="Most Recent"),INDIRECT("U14:U"&amp;(13+10)),INDIRECT("U14:U"&amp;(13+Projection)))&lt;&gt;"-",IF(IF(OR(Summary="Favorable",Summary="Unfavorable",Summary="Most Recent"),INDIRECT("U14:U"&amp;(13+10)),INDIRECT("U14:U"&amp;(13+Projection)))&lt;&gt;"",IF(OR(Summary="Favorable",Summary="Unfavorable",Summary="Most Recent"),INDIRECT("U14:U"&amp;(13+10)),INDIRECT("U14:U"&amp;(13+Projection)))))+1)-1),"Examine"),"0.00%")&amp;"
Avg Annual"</f>
        <v>Examine
Avg Annual</v>
      </c>
      <c r="V60" s="492" t="str" cm="1">
        <f t="array" aca="1" ref="V60" ca="1">TEXT(IFERROR(SUMPRODUCT(GEOMEAN(IF(IF(OR(Summary="Favorable",Summary="Unfavorable",Summary="Most Recent"),INDIRECT("V14:V"&amp;(13+10)),INDIRECT("X14:X"&amp;(13+Projection)))&lt;&gt;"-",IF(IF(OR(Summary="Favorable",Summary="Unfavorable",Summary="Most Recent"),INDIRECT("V14:V"&amp;(13+10)),INDIRECT("V14:V"&amp;(13+Projection)))&lt;&gt;"",IF(OR(Summary="Favorable",Summary="Unfavorable",Summary="Most Recent"),INDIRECT("V14:V"&amp;(13+10)),INDIRECT("V14:V"&amp;(13+Projection)))))+1)-1),"Examine"),"0.00%")&amp;"
Avg Annual"</f>
        <v>Examine
Avg Annual</v>
      </c>
      <c r="W60" s="492" t="str" cm="1">
        <f t="array" aca="1" ref="W60" ca="1">TEXT(IFERROR(SUMPRODUCT(GEOMEAN(IF(IF(OR(Summary="Favorable",Summary="Unfavorable",Summary="Most Recent"),INDIRECT("W14:W"&amp;(13+10)),INDIRECT("W14:W"&amp;(13+Projection)))&lt;&gt;"-",IF(IF(OR(Summary="Favorable",Summary="Unfavorable",Summary="Most Recent"),INDIRECT("W14:W"&amp;(13+10)),INDIRECT("W14:W"&amp;(13+Projection)))&lt;&gt;"",IF(OR(Summary="Favorable",Summary="Unfavorable",Summary="Most Recent"),INDIRECT("W14:W"&amp;(13+10)),INDIRECT("W14:W"&amp;(13+Projection)))))+1)-1),"Examine"),"0.00%")&amp;"
Avg Annual"</f>
        <v>Examine
Avg Annual</v>
      </c>
      <c r="X60" s="492" t="str" cm="1">
        <f t="array" aca="1" ref="X60" ca="1">TEXT(IFERROR(SUMPRODUCT(GEOMEAN(IF(IF(OR(Summary="Favorable",Summary="Unfavorable",Summary="Most Recent"),INDIRECT("X14:X"&amp;(13+10)),INDIRECT("X14:X"&amp;(13+Projection)))&lt;&gt;"-",IF(IF(OR(Summary="Favorable",Summary="Unfavorable",Summary="Most Recent"),INDIRECT("X14:X"&amp;(13+10)),INDIRECT("X14:X"&amp;(13+Projection)))&lt;&gt;"",IF(OR(Summary="Favorable",Summary="Unfavorable",Summary="Most Recent"),INDIRECT("X14:X"&amp;(13+10)),INDIRECT("X14:X"&amp;(13+Projection)))))+1)-1),"Examine"),"0.00%")&amp;"
Avg Annual"</f>
        <v>Examine
Avg Annual</v>
      </c>
      <c r="Y60" s="494" t="e">
        <f ca="1">SUM(Y13:Y58)</f>
        <v>#REF!</v>
      </c>
      <c r="Z60" s="496" t="e">
        <f ca="1">INDEX(Z$13:Z$58,MATCH(MAX($R$13:$R$58),$R$13:$R$58,0),1)</f>
        <v>#REF!</v>
      </c>
      <c r="AA60" s="486" t="e">
        <f ca="1">SUM(AA13:AA58)</f>
        <v>#REF!</v>
      </c>
      <c r="AB60" s="486" t="e">
        <f ca="1">INDEX(AB$13:AB$58,MATCH(MAX($R$13:$R$58),$R$13:$R$58,0),1)</f>
        <v>#REF!</v>
      </c>
      <c r="AC60" s="486" t="e">
        <f ca="1">SUM(AC13:AC58)</f>
        <v>#REF!</v>
      </c>
      <c r="AD60" s="490" t="e">
        <f ca="1">INDEX(AD$13:AD$58,MATCH(MAX($R$13:$R$58),$R$13:$R$58,0),1)</f>
        <v>#REF!</v>
      </c>
      <c r="AE60" s="486" t="e">
        <f ca="1">SUM(AE13:AE58)</f>
        <v>#REF!</v>
      </c>
      <c r="AF60" s="486" t="e">
        <f ca="1">INDEX(AF$13:AF$58,MATCH(MAX($R$13:$R$58),$R$13:$R$58,0),1)</f>
        <v>#REF!</v>
      </c>
      <c r="AG60" s="486" t="e">
        <f ca="1">INDEX(AG$13:AG$58,MATCH(MAX($R$13:$R$58),$R$13:$R$58,0),1)</f>
        <v>#REF!</v>
      </c>
      <c r="AH60" s="486" t="e">
        <f ca="1">INDEX(AH$13:AH$58,MATCH(MAX($R$13:$R$58),$R$13:$R$58,0),1)</f>
        <v>#REF!</v>
      </c>
      <c r="AI60" s="486"/>
      <c r="AJ60" s="486"/>
      <c r="AK60" s="488" t="e">
        <f ca="1">INDEX(AK$13:AK$58,MATCH(MAX($R$13:$R$58),$R$13:$R$58,0),1)</f>
        <v>#REF!</v>
      </c>
    </row>
    <row r="61" spans="16:37" x14ac:dyDescent="0.3">
      <c r="P61" s="499"/>
      <c r="Q61" s="67"/>
      <c r="R61" s="68"/>
      <c r="S61" s="493"/>
      <c r="T61" s="493"/>
      <c r="U61" s="493"/>
      <c r="V61" s="493"/>
      <c r="W61" s="493"/>
      <c r="X61" s="493"/>
      <c r="Y61" s="495"/>
      <c r="Z61" s="497"/>
      <c r="AA61" s="487"/>
      <c r="AB61" s="487"/>
      <c r="AC61" s="487"/>
      <c r="AD61" s="491"/>
      <c r="AE61" s="487"/>
      <c r="AF61" s="487"/>
      <c r="AG61" s="487"/>
      <c r="AH61" s="487"/>
      <c r="AI61" s="487"/>
      <c r="AJ61" s="487"/>
      <c r="AK61" s="489"/>
    </row>
    <row r="67" spans="24:24" ht="14.4" x14ac:dyDescent="0.3">
      <c r="X67" s="69"/>
    </row>
    <row r="115" spans="13:38" x14ac:dyDescent="0.3">
      <c r="M115" s="1"/>
      <c r="AL115" s="1"/>
    </row>
    <row r="116" spans="13:38" x14ac:dyDescent="0.3">
      <c r="M116" s="1"/>
      <c r="AL116" s="1"/>
    </row>
    <row r="132" spans="13:38" x14ac:dyDescent="0.3">
      <c r="M132" s="1"/>
      <c r="AL132" s="1"/>
    </row>
    <row r="133" spans="13:38" x14ac:dyDescent="0.3">
      <c r="M133" s="1"/>
      <c r="AL133" s="1"/>
    </row>
  </sheetData>
  <mergeCells count="58">
    <mergeCell ref="B2:L2"/>
    <mergeCell ref="P2:AK2"/>
    <mergeCell ref="B4:C4"/>
    <mergeCell ref="E4:L4"/>
    <mergeCell ref="P4:AK4"/>
    <mergeCell ref="J7:J9"/>
    <mergeCell ref="K7:K9"/>
    <mergeCell ref="L7:L9"/>
    <mergeCell ref="P9:P12"/>
    <mergeCell ref="Q9:Q12"/>
    <mergeCell ref="AE11:AE12"/>
    <mergeCell ref="AF11:AF12"/>
    <mergeCell ref="S9:W9"/>
    <mergeCell ref="X9:AJ10"/>
    <mergeCell ref="AK9:AK10"/>
    <mergeCell ref="S11:S12"/>
    <mergeCell ref="T11:T12"/>
    <mergeCell ref="U11:U12"/>
    <mergeCell ref="V11:V12"/>
    <mergeCell ref="W11:W12"/>
    <mergeCell ref="X11:X12"/>
    <mergeCell ref="Z11:Z12"/>
    <mergeCell ref="E30:L30"/>
    <mergeCell ref="AA11:AA12"/>
    <mergeCell ref="AB11:AB12"/>
    <mergeCell ref="AC11:AC12"/>
    <mergeCell ref="AD11:AD12"/>
    <mergeCell ref="R9:R12"/>
    <mergeCell ref="E7:E9"/>
    <mergeCell ref="F7:F9"/>
    <mergeCell ref="G7:G9"/>
    <mergeCell ref="H7:H9"/>
    <mergeCell ref="I7:I9"/>
    <mergeCell ref="AG11:AG12"/>
    <mergeCell ref="AH11:AH12"/>
    <mergeCell ref="AI11:AI12"/>
    <mergeCell ref="AJ11:AJ12"/>
    <mergeCell ref="AK11:AK12"/>
    <mergeCell ref="AC60:AC61"/>
    <mergeCell ref="P60:P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J60:AJ61"/>
    <mergeCell ref="AK60:AK61"/>
    <mergeCell ref="AD60:AD61"/>
    <mergeCell ref="AE60:AE61"/>
    <mergeCell ref="AF60:AF61"/>
    <mergeCell ref="AG60:AG61"/>
    <mergeCell ref="AH60:AH61"/>
    <mergeCell ref="AI60:AI61"/>
  </mergeCells>
  <conditionalFormatting sqref="F33:F42">
    <cfRule type="expression" dxfId="39" priority="2">
      <formula>ISNA(F33)</formula>
    </cfRule>
  </conditionalFormatting>
  <conditionalFormatting sqref="F10:L28 C23:C28">
    <cfRule type="expression" dxfId="38" priority="6">
      <formula>C10="N/A"</formula>
    </cfRule>
  </conditionalFormatting>
  <conditionalFormatting sqref="P13:AK58">
    <cfRule type="expression" dxfId="35" priority="5">
      <formula>P13&lt;&gt;""</formula>
    </cfRule>
  </conditionalFormatting>
  <conditionalFormatting sqref="S13:W58">
    <cfRule type="expression" dxfId="34" priority="7">
      <formula>MOD($Q13,INT(LEFT(S$10,1)))&lt;&gt;0</formula>
    </cfRule>
    <cfRule type="expression" dxfId="33" priority="8">
      <formula>AND(INT(LEFT(S$10,1))&lt;&gt;1,MOD($Q13,INT(LEFT(S$10,1)))=0)</formula>
    </cfRule>
  </conditionalFormatting>
  <conditionalFormatting sqref="AJ13:AJ58">
    <cfRule type="expression" dxfId="31" priority="3">
      <formula>AND(PTab="P7",$Q13&lt;5)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7B354F0F-F21C-442E-AE23-5589755B2A9B}">
            <xm:f>OR(AND(PTab="P7",$Y$12&lt;&gt;"",INDEX('Inputs &amp; Summary'!$O$11:$O$56,MATCH($P13,'Inputs &amp; Summary'!$P$11:$P$56,0),1)=5),AND(Ref!$S$53="Y",$Q13=CDSCP,$AJ13&gt;0))</xm:f>
            <x14:dxf>
              <font>
                <b/>
                <i/>
              </font>
              <fill>
                <patternFill>
                  <bgColor rgb="FFECFAB8"/>
                </patternFill>
              </fill>
            </x14:dxf>
          </x14:cfRule>
          <xm:sqref>P13:AK48</xm:sqref>
        </x14:conditionalFormatting>
        <x14:conditionalFormatting xmlns:xm="http://schemas.microsoft.com/office/excel/2006/main">
          <x14:cfRule type="expression" priority="1" id="{1793D006-9D89-4B98-8513-48E89CB5BAC9}">
            <xm:f>AND(Ref!$S$53="Y",$Q13&lt;=CDSCP)</xm:f>
            <x14:dxf>
              <fill>
                <patternFill>
                  <bgColor rgb="FFECFAB8"/>
                </patternFill>
              </fill>
            </x14:dxf>
          </x14:cfRule>
          <xm:sqref>P13:AK58</xm:sqref>
        </x14:conditionalFormatting>
        <x14:conditionalFormatting xmlns:xm="http://schemas.microsoft.com/office/excel/2006/main">
          <x14:cfRule type="expression" priority="4" id="{59BE3F30-EA6A-44BC-9F11-7A6C14FA339E}">
            <xm:f>AND('Inputs &amp; Summary'!AD11="Yes",'Inputs &amp; Summary'!AE11&gt;0)</xm:f>
            <x14:dxf>
              <font>
                <b val="0"/>
                <i/>
              </font>
              <fill>
                <patternFill>
                  <bgColor rgb="FFE0E0FB"/>
                </patternFill>
              </fill>
            </x14:dxf>
          </x14:cfRule>
          <xm:sqref>AC13:AC58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07D8-C36A-43BB-91FC-3B4DE832444F}">
  <sheetPr>
    <tabColor rgb="FF3562FF"/>
  </sheetPr>
  <dimension ref="A1:BP171"/>
  <sheetViews>
    <sheetView showGridLines="0" tabSelected="1" zoomScale="80" zoomScaleNormal="80" workbookViewId="0">
      <selection activeCell="C10" sqref="C10"/>
    </sheetView>
  </sheetViews>
  <sheetFormatPr defaultColWidth="10.5546875" defaultRowHeight="13.2" outlineLevelRow="1" outlineLevelCol="1" x14ac:dyDescent="0.3"/>
  <cols>
    <col min="1" max="1" width="1.5546875" style="58" customWidth="1"/>
    <col min="2" max="2" width="77.5546875" style="58" bestFit="1" customWidth="1"/>
    <col min="3" max="3" width="45.88671875" style="58" customWidth="1"/>
    <col min="4" max="4" width="1.5546875" style="58" customWidth="1"/>
    <col min="5" max="5" width="11.109375" style="58" hidden="1" customWidth="1" outlineLevel="1"/>
    <col min="6" max="6" width="8.77734375" style="58" hidden="1" customWidth="1" outlineLevel="1"/>
    <col min="7" max="7" width="9.21875" style="58" hidden="1" customWidth="1" outlineLevel="1"/>
    <col min="8" max="8" width="7.77734375" style="58" hidden="1" customWidth="1" outlineLevel="1"/>
    <col min="9" max="9" width="14.77734375" style="58" hidden="1" customWidth="1" outlineLevel="1"/>
    <col min="10" max="10" width="8.109375" style="58" hidden="1" customWidth="1" outlineLevel="1"/>
    <col min="11" max="11" width="18.88671875" style="58" hidden="1" customWidth="1" outlineLevel="1"/>
    <col min="12" max="12" width="1.5546875" style="58" hidden="1" customWidth="1" outlineLevel="1"/>
    <col min="13" max="13" width="1.5546875" style="3" customWidth="1" collapsed="1"/>
    <col min="14" max="14" width="1.5546875" style="1" customWidth="1"/>
    <col min="15" max="15" width="10.77734375" style="1" customWidth="1"/>
    <col min="16" max="16" width="15.88671875" style="1" customWidth="1"/>
    <col min="17" max="17" width="11.77734375" style="1" customWidth="1"/>
    <col min="18" max="18" width="21.44140625" style="1" customWidth="1"/>
    <col min="19" max="19" width="14.44140625" style="1" customWidth="1"/>
    <col min="20" max="20" width="18.44140625" style="1" customWidth="1"/>
    <col min="21" max="21" width="20.77734375" style="1" bestFit="1" customWidth="1"/>
    <col min="22" max="22" width="15.77734375" style="1" customWidth="1"/>
    <col min="23" max="23" width="23.77734375" style="1" customWidth="1"/>
    <col min="24" max="24" width="12.88671875" style="1" customWidth="1"/>
    <col min="25" max="25" width="25.88671875" style="1" bestFit="1" customWidth="1"/>
    <col min="26" max="26" width="9.88671875" style="1" bestFit="1" customWidth="1"/>
    <col min="27" max="27" width="10.33203125" style="1" customWidth="1"/>
    <col min="28" max="28" width="24.77734375" style="1" customWidth="1"/>
    <col min="29" max="29" width="22" style="1" hidden="1" customWidth="1" outlineLevel="1"/>
    <col min="30" max="30" width="19.88671875" style="1" hidden="1" customWidth="1" outlineLevel="1"/>
    <col min="31" max="31" width="20" style="1" hidden="1" customWidth="1" outlineLevel="1"/>
    <col min="32" max="32" width="18.44140625" style="1" hidden="1" customWidth="1" outlineLevel="1"/>
    <col min="33" max="33" width="21.5546875" style="1" bestFit="1" customWidth="1" collapsed="1"/>
    <col min="34" max="34" width="13.33203125" style="1" customWidth="1"/>
    <col min="35" max="35" width="17" style="1" customWidth="1"/>
    <col min="36" max="36" width="25.88671875" style="1" bestFit="1" customWidth="1"/>
    <col min="37" max="37" width="1.5546875" style="1" customWidth="1"/>
    <col min="38" max="47" width="15.5546875" style="1" customWidth="1" outlineLevel="1"/>
    <col min="48" max="48" width="1.5546875" style="1" customWidth="1"/>
    <col min="49" max="16384" width="10.5546875" style="1"/>
  </cols>
  <sheetData>
    <row r="1" spans="2:68" ht="14.4" x14ac:dyDescent="0.3">
      <c r="S1" s="70"/>
      <c r="T1" s="71"/>
      <c r="X1" s="72"/>
      <c r="AA1" s="73"/>
    </row>
    <row r="2" spans="2:68" ht="14.4" x14ac:dyDescent="0.3">
      <c r="O2" s="642" t="s">
        <v>39</v>
      </c>
      <c r="P2" s="643"/>
      <c r="Q2" s="644"/>
      <c r="U2" s="74"/>
      <c r="Y2" s="69"/>
      <c r="AG2" s="75" t="s">
        <v>40</v>
      </c>
      <c r="AH2" s="76"/>
      <c r="AW2" s="642" t="s">
        <v>41</v>
      </c>
      <c r="AX2" s="643"/>
      <c r="AY2" s="643"/>
      <c r="AZ2" s="644"/>
    </row>
    <row r="3" spans="2:68" ht="15" customHeight="1" x14ac:dyDescent="0.3">
      <c r="B3" s="645" t="s">
        <v>42</v>
      </c>
      <c r="C3" s="646"/>
      <c r="O3" s="545" t="str">
        <f>IF(COUNTIFS($B$142:$B$171,"")&lt;&gt;COUNTIFS($B$142:$B$171,"",$C$142:$C$171,0)+COUNTIFS($B$142:$B$171,"",$C$142:$C$171,""),"!!! Review Strategy Allocations !!!",Summary&amp;" Summary")</f>
        <v>Specific Summary</v>
      </c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7"/>
      <c r="AL3" s="649" t="s">
        <v>43</v>
      </c>
      <c r="AM3" s="650" t="s">
        <v>44</v>
      </c>
      <c r="AN3" s="651"/>
      <c r="AO3" s="651"/>
      <c r="AP3" s="651"/>
      <c r="AQ3" s="652"/>
      <c r="AR3" s="656" t="s">
        <v>24</v>
      </c>
      <c r="AS3" s="657"/>
      <c r="AT3" s="657"/>
      <c r="AU3" s="658"/>
    </row>
    <row r="4" spans="2:68" ht="12.6" customHeight="1" x14ac:dyDescent="0.3">
      <c r="B4" s="647"/>
      <c r="C4" s="648"/>
      <c r="O4" s="662" t="str">
        <f>IF(PTab="P3","EOP Contract Values", "Following Year BOP Contract Values")</f>
        <v>Following Year BOP Contract Values</v>
      </c>
      <c r="P4" s="662"/>
      <c r="Q4" s="662"/>
      <c r="R4" s="662"/>
      <c r="S4" s="662"/>
      <c r="T4" s="662"/>
      <c r="U4" s="662"/>
      <c r="V4" s="662"/>
      <c r="W4" s="663"/>
      <c r="X4" s="664" t="str">
        <f>IF(PTab="P7","Transactions","Guaranteed Retirement Income")</f>
        <v>Guaranteed Retirement Income</v>
      </c>
      <c r="Y4" s="665"/>
      <c r="Z4" s="665"/>
      <c r="AA4" s="665"/>
      <c r="AB4" s="665"/>
      <c r="AC4" s="665"/>
      <c r="AD4" s="665"/>
      <c r="AE4" s="665"/>
      <c r="AF4" s="665"/>
      <c r="AG4" s="665"/>
      <c r="AH4" s="665"/>
      <c r="AI4" s="666"/>
      <c r="AJ4" s="77" t="s">
        <v>17</v>
      </c>
      <c r="AL4" s="614"/>
      <c r="AM4" s="653"/>
      <c r="AN4" s="654"/>
      <c r="AO4" s="654"/>
      <c r="AP4" s="654"/>
      <c r="AQ4" s="655"/>
      <c r="AR4" s="659"/>
      <c r="AS4" s="660"/>
      <c r="AT4" s="660"/>
      <c r="AU4" s="661"/>
    </row>
    <row r="5" spans="2:68" ht="12.6" hidden="1" customHeight="1" outlineLevel="1" x14ac:dyDescent="0.3">
      <c r="B5" s="78"/>
      <c r="C5" s="79"/>
      <c r="O5" s="80"/>
      <c r="P5" s="81" t="str">
        <f ca="1">IFERROR(INDEX(INDIRECT(PTab&amp;"!$B$4:$EH$4"),MATCH(P$6,INDIRECT(PTab&amp;"!$B$10:$EH$10"),0)),"")</f>
        <v/>
      </c>
      <c r="Q5" s="81" t="str">
        <f ca="1">IFERROR(INDEX(INDIRECT(PTab&amp;"!$B$4:$EH$4"),MATCH(Q$6,INDIRECT(PTab&amp;"!$B$10:$EH$10"),0)),"")</f>
        <v/>
      </c>
      <c r="R5" s="81" t="str">
        <f ca="1">IFERROR(INDEX(INDIRECT(PTab&amp;"!$B$4:$EH$4"),MATCH(R$6,INDIRECT(PTab&amp;"!$B$10:$EH$10"),0)),"")</f>
        <v/>
      </c>
      <c r="S5" s="81" t="str">
        <f ca="1">IFERROR(INDEX(INDIRECT(PTab&amp;"!$B$4:$EH$4"),MATCH(S$6,INDIRECT(PTab&amp;"!$B$10:$EH$10"),0)),"")</f>
        <v/>
      </c>
      <c r="T5" s="81" t="str">
        <f ca="1">IFERROR(INDEX(INDIRECT(PTab&amp;"!$B$4:$EH$4"),MATCH(T$6,INDIRECT(PTab&amp;"!$B$10:$EH$10"),0)),"")</f>
        <v/>
      </c>
      <c r="U5" s="82" t="str">
        <f ca="1">IF(RIGHT(Category,2)="NY",IFERROR(INDEX(INDIRECT(PTab&amp;"!$AN$4:$EH$4"),MATCH(U$6,INDIRECT(PTab&amp;"!$AN$10:$EH$10"),0)),""),IFERROR(INDEX(INDIRECT(PTab&amp;"!$BB$4:$EH$4"),MATCH(U$6,INDIRECT(PTab&amp;"!$BB$10:$EH$10"),0)),""))</f>
        <v/>
      </c>
      <c r="V5" s="82" t="str">
        <f ca="1">IF(RIGHT(Category,2)="NY",IFERROR(INDEX(INDIRECT(PTab&amp;"!$AN$4:$EH$4"),MATCH(V$6,INDIRECT(PTab&amp;"!$AN$10:$EH$10"),0)),""),IFERROR(INDEX(INDIRECT(PTab&amp;"!$BB$4:$EH$4"),MATCH(V$6,INDIRECT(PTab&amp;"!$BB$10:$EH$10"),0)),""))</f>
        <v/>
      </c>
      <c r="W5" s="82" t="str">
        <f ca="1">IF(RIGHT(Category,2)="NY",IFERROR(INDEX(INDIRECT(PTab&amp;"!$AN$4:$EH$4"),MATCH(W$6,INDIRECT(PTab&amp;"!$AN$10:$EH$10"),0)),""),IFERROR(INDEX(INDIRECT(PTab&amp;"!$BB$4:$EH$4"),MATCH(W$6,INDIRECT(PTab&amp;"!$BB$10:$EH$10"),0)),""))</f>
        <v/>
      </c>
      <c r="X5" s="83" t="str">
        <f ca="1">IFERROR(INDEX(INDIRECT(PTab&amp;"!$BB$4:$EH$4"),MATCH(X$6,INDIRECT(PTab&amp;"!$BB$10:$EH$10"),0)),"")</f>
        <v/>
      </c>
      <c r="Y5" s="84" t="str">
        <f ca="1">IF(RIGHT(Category,2)="NY",IFERROR(INDEX(INDIRECT(PTab&amp;"!$AN$4:$EH$4"),MATCH(Y$6,INDIRECT(PTab&amp;"!$AN$10:$EH$10"),0)),""),IFERROR(INDEX(INDIRECT(PTab&amp;"!$BB$4:$EH$4"),MATCH(Y$6,INDIRECT(PTab&amp;"!$BB$10:$EH$10"),0)),""))</f>
        <v/>
      </c>
      <c r="Z5" s="85"/>
      <c r="AA5" s="83" t="str">
        <f ca="1">IFERROR(INDEX(INDIRECT(PTab&amp;"!$BB$4:$EH$4"),MATCH(AA$6,INDIRECT(PTab&amp;"!$BB$10:$EH$10"),0)),"")</f>
        <v/>
      </c>
      <c r="AB5" s="86" t="str">
        <f ca="1">IFERROR(INDEX(INDIRECT(PTab&amp;"!$B$4:$EH$4"),MATCH(AB$6,INDIRECT(PTab&amp;"!$B$10:$EH$10"),0)),"")</f>
        <v/>
      </c>
      <c r="AC5" s="85"/>
      <c r="AD5" s="85"/>
      <c r="AE5" s="86" t="str">
        <f ca="1">IFERROR(INDEX(INDIRECT(PTab&amp;"!$BB$4:$EH$4"),MATCH(AE$6,INDIRECT(PTab&amp;"!$BB$10:$EH$10"),0)),"")</f>
        <v/>
      </c>
      <c r="AF5" s="86"/>
      <c r="AG5" s="84" t="str">
        <f ca="1">IF(RIGHT(Category,2)="NY",IFERROR(INDEX(INDIRECT(PTab&amp;"!$AN$4:$EH$4"),MATCH(AG$6,INDIRECT(PTab&amp;"!$AN$10:$EH$10"),0)),""),IFERROR(INDEX(INDIRECT(PTab&amp;"!$BB$4:$EH$4"),MATCH(AG$6,INDIRECT(PTab&amp;"!$BB$10:$EH$10"),0)),""))</f>
        <v/>
      </c>
      <c r="AH5" s="84" t="str">
        <f ca="1">IF(RIGHT(Category,2)="NY",IFERROR(INDEX(INDIRECT(PTab&amp;"!$AN$4:$EH$4"),MATCH(AH$6,INDIRECT(PTab&amp;"!$AN$10:$EH$10"),0)),""),IFERROR(INDEX(INDIRECT(PTab&amp;"!$B$4:$EH$4"),MATCH(AH$6,INDIRECT(PTab&amp;"!$B$10:$EH$10"),0)),""))</f>
        <v/>
      </c>
      <c r="AI5" s="81"/>
      <c r="AJ5" s="87" t="str">
        <f ca="1">IF(RIGHT(Category,2)="NY",IFERROR(INDEX(INDIRECT(PTab&amp;"!$AN$4:$EH$4"),MATCH(AJ$6,INDIRECT(PTab&amp;"!$AN$10:$EH$10"),0)),""),IFERROR(INDEX(INDIRECT(PTab&amp;"!$BB$4:$EH$4"),MATCH(AJ$6,INDIRECT(PTab&amp;"!$BB$10:$EH$10"),0)),""))</f>
        <v/>
      </c>
      <c r="AL5" s="88" t="str">
        <f ca="1">IFERROR(INDEX(INDIRECT(PTab&amp;"!$B$4:$BA$4"),MATCH(AL$6,INDIRECT(PTab&amp;"!$B$10:$BA$10"),0)),"")</f>
        <v/>
      </c>
      <c r="AM5" s="89" t="str">
        <f ca="1">IF(PTab="P7",IFERROR(INDEX(INDIRECT(PTab&amp;"!$CP$4:$EH$4"),MATCH(AM$6,INDIRECT(PTab&amp;"!$CP$10:$EH$10"),0)),""),IF(Ref!$S$53="Y",IFERROR(INDEX(INDIRECT(PTab&amp;"!$BO$4:$EE$4"),MATCH(AM$6,INDIRECT(PTab&amp;"!$BO$10:$EE$10"),0)),""),""))</f>
        <v/>
      </c>
      <c r="AN5" s="82" t="str">
        <f ca="1">IF(PTab="P7",IFERROR(INDEX(INDIRECT(PTab&amp;"!$CP$4:$EH$4"),MATCH(AN$6,INDIRECT(PTab&amp;"!$CP$10:$EH$10"),0)),""),"")</f>
        <v/>
      </c>
      <c r="AO5" s="82" t="str">
        <f ca="1">IF(PTab="P7",IFERROR(INDEX(INDIRECT(PTab&amp;"!$CP$4:$EH$4"),MATCH(AO$6,INDIRECT(PTab&amp;"!$CP$10:$EH$10"),0)),""),"")</f>
        <v/>
      </c>
      <c r="AP5" s="90" t="str">
        <f ca="1">IF(PTab="P7",IFERROR(INDEX(INDIRECT(PTab&amp;"!$CP$4:$EH$4"),MATCH(AP$6,INDIRECT(PTab&amp;"!$CP$10:$EH$10"),0)),""),"")</f>
        <v/>
      </c>
      <c r="AQ5" s="81" t="str">
        <f ca="1">IFERROR(INDEX(INDIRECT(PTab&amp;"!$B$4:$EH$4"),MATCH(AQ$6,INDIRECT(PTab&amp;"!$B$10:$EH$10"),0)),"")</f>
        <v/>
      </c>
      <c r="AR5" s="91" t="str">
        <f ca="1">IFERROR(INDEX(INDIRECT(PTab&amp;"!$BB$4:$EH$4"),MATCH(AR$6,INDIRECT(PTab&amp;"!$BB$10:$EH$10"),0)),"")</f>
        <v/>
      </c>
      <c r="AS5" s="92" t="str">
        <f ca="1">IFERROR(INDEX(INDIRECT(PTab&amp;"!$BB$4:$EH$4"),MATCH(AS$6,INDIRECT(PTab&amp;"!$BB$10:$EH$10"),0)),"")</f>
        <v/>
      </c>
      <c r="AT5" s="92" t="str">
        <f ca="1">IFERROR(INDEX(INDIRECT(PTab&amp;"!$BB$4:$EH$4"),MATCH(AT$6,INDIRECT(PTab&amp;"!$BB$10:$EH$10"),0)),"")</f>
        <v/>
      </c>
      <c r="AU5" s="93" t="str">
        <f ca="1">IFERROR(INDEX(INDIRECT(PTab&amp;"!$BB$4:$EH$4"),MATCH(AU$6,INDIRECT(PTab&amp;"!$BB$10:$EH$10"),0)),"")</f>
        <v/>
      </c>
      <c r="BP5" s="94"/>
    </row>
    <row r="6" spans="2:68" ht="35.1" hidden="1" customHeight="1" outlineLevel="1" x14ac:dyDescent="0.3">
      <c r="B6" s="95"/>
      <c r="C6" s="96"/>
      <c r="O6" s="97"/>
      <c r="P6" s="98" t="s">
        <v>45</v>
      </c>
      <c r="Q6" s="98" t="s">
        <v>46</v>
      </c>
      <c r="R6" s="98"/>
      <c r="S6" s="98" t="s">
        <v>47</v>
      </c>
      <c r="T6" s="98" t="s">
        <v>48</v>
      </c>
      <c r="U6" s="99" t="str">
        <f>IF(RIGHT(Category,2)="NY","Total Contract Value after Reset","Total Contract Value")</f>
        <v>Total Contract Value</v>
      </c>
      <c r="V6" s="99" t="s">
        <v>26</v>
      </c>
      <c r="W6" s="99" t="str">
        <f>IF(RIGHT(Category,2)="NY","MAV after Reset","Minimum Withdrawal Value")</f>
        <v>Minimum Withdrawal Value</v>
      </c>
      <c r="X6" s="100" t="s">
        <v>49</v>
      </c>
      <c r="Y6" s="101" t="str">
        <f>IF(RIGHT(Category,2)="NY","GLIA","MAWA / Remaining MAWA")</f>
        <v>MAWA / Remaining MAWA</v>
      </c>
      <c r="Z6" s="102"/>
      <c r="AA6" s="100" t="str">
        <f>IF(Ref!$S$53="Y","GMAB Amount","")</f>
        <v>GMAB Amount</v>
      </c>
      <c r="AB6" s="103" t="str">
        <f>IF(PTab="P7","Withdrawal / Systematic Withdrawal","Pre-Activation / Systematic Withdrawal")</f>
        <v>Pre-Activation / Systematic Withdrawal</v>
      </c>
      <c r="AC6" s="102"/>
      <c r="AD6" s="102"/>
      <c r="AE6" s="103" t="s">
        <v>50</v>
      </c>
      <c r="AF6" s="103"/>
      <c r="AG6" s="101" t="str">
        <f>IF(RIGHT(Category,2)="NY","N/A for this Product","Lifetime Income Withdrawal")</f>
        <v>Lifetime Income Withdrawal</v>
      </c>
      <c r="AH6" s="101" t="str">
        <f>IF(RIGHT(Category,2)="NY","Total Gross Withdrawals","Income Credit")</f>
        <v>Income Credit</v>
      </c>
      <c r="AI6" s="98" t="s">
        <v>23</v>
      </c>
      <c r="AJ6" s="104" t="s">
        <v>34</v>
      </c>
      <c r="AL6" s="105" t="str">
        <f>IF(PTab="P7","Free WD Allowance","Free WD Amount")</f>
        <v>Free WD Amount</v>
      </c>
      <c r="AM6" s="106" t="str">
        <f>IF(PTab="P7","GROP Amount",IF(Ref!$S$53="Y","GMAB Value",""))</f>
        <v>GMAB Value</v>
      </c>
      <c r="AN6" s="99" t="s">
        <v>51</v>
      </c>
      <c r="AO6" s="99" t="s">
        <v>52</v>
      </c>
      <c r="AP6" s="107" t="s">
        <v>53</v>
      </c>
      <c r="AQ6" s="98" t="s">
        <v>54</v>
      </c>
      <c r="AR6" s="108" t="s">
        <v>55</v>
      </c>
      <c r="AS6" s="109" t="s">
        <v>56</v>
      </c>
      <c r="AT6" s="109" t="s">
        <v>57</v>
      </c>
      <c r="AU6" s="110" t="s">
        <v>58</v>
      </c>
      <c r="BP6" s="94"/>
    </row>
    <row r="7" spans="2:68" ht="12.6" customHeight="1" collapsed="1" x14ac:dyDescent="0.3">
      <c r="B7" s="631" t="s">
        <v>59</v>
      </c>
      <c r="C7" s="632"/>
      <c r="O7" s="635" t="s">
        <v>13</v>
      </c>
      <c r="P7" s="604" t="s">
        <v>45</v>
      </c>
      <c r="Q7" s="604" t="s">
        <v>46</v>
      </c>
      <c r="R7" s="111" t="s">
        <v>60</v>
      </c>
      <c r="S7" s="638" t="str" cm="1">
        <f t="array" aca="1" ref="S7" ca="1">IF(Summary="Favorable","Favorable Period: "&amp;TEXT(INDIRECT($R$7&amp;"!$G30"),"mm/dd/yyyy")&amp;" - "&amp;TEXT(INDIRECT($R$7&amp;"!$I30"),"mm/dd/yyyy"),IF(Summary="Unfavorable","Unfavorable Period: "&amp;TEXT(INDIRECT($R$7&amp;"!$G31"),"mm/dd/yyyy")&amp;" - "&amp;TEXT(INDIRECT($R$7&amp;"!$I31"),"mm/dd/yyyy"),""))</f>
        <v/>
      </c>
      <c r="T7" s="639"/>
      <c r="U7" s="604" t="str">
        <f>IF(RIGHT(Category,2)="NY","Total Contract Value
(Prior to Transaction)","Total Contract Value")</f>
        <v>Total Contract Value</v>
      </c>
      <c r="V7" s="604" t="s">
        <v>26</v>
      </c>
      <c r="W7" s="604" t="s">
        <v>61</v>
      </c>
      <c r="X7" s="599" t="str">
        <f>IF(OR(RIGHT(Category,2)="NY",PTab="P7"),"","Income Base")</f>
        <v>Income Base</v>
      </c>
      <c r="Y7" s="112" t="str">
        <f>IF(AND(RIGHT(Category,2)="NY",LivBen&lt;&gt;"None"),"Initial Income Rate: "&amp;TEXT(VLOOKUP(IF(Election="Joint Life", MIN(IssAge1,IssAge2),IssAge1),Ref!$BC$7:$BF$39,4,FALSE),"0.00%"), "")</f>
        <v/>
      </c>
      <c r="Z7" s="599" t="s">
        <v>62</v>
      </c>
      <c r="AA7" s="599" t="str">
        <f>AA6</f>
        <v>GMAB Amount</v>
      </c>
      <c r="AB7" s="626" t="str">
        <f>IF(PTab="P7","Withdrawal","Pre-Activation Withdrawal")</f>
        <v>Pre-Activation Withdrawal</v>
      </c>
      <c r="AC7" s="623" t="s">
        <v>63</v>
      </c>
      <c r="AD7" s="626" t="s">
        <v>64</v>
      </c>
      <c r="AE7" s="623" t="s">
        <v>65</v>
      </c>
      <c r="AF7" s="623"/>
      <c r="AG7" s="113" t="str">
        <f>IF(OR(RIGHT(Category,2)="NY",LivBen="None"),"","Withdrawal Rate:")</f>
        <v/>
      </c>
      <c r="AH7" s="599" t="str">
        <f>IF(RIGHT(Category,2)="NY","Total Gross Withdrawals",IF(PTab="P7","","Income Credit"))</f>
        <v>Income Credit</v>
      </c>
      <c r="AI7" s="599" t="s">
        <v>23</v>
      </c>
      <c r="AJ7" s="611" t="s">
        <v>34</v>
      </c>
      <c r="AL7" s="614" t="s">
        <v>66</v>
      </c>
      <c r="AM7" s="617" t="str">
        <f>AM6</f>
        <v>GMAB Value</v>
      </c>
      <c r="AN7" s="620" t="s">
        <v>51</v>
      </c>
      <c r="AO7" s="620" t="s">
        <v>52</v>
      </c>
      <c r="AP7" s="620" t="s">
        <v>53</v>
      </c>
      <c r="AQ7" s="592" t="s">
        <v>67</v>
      </c>
      <c r="AR7" s="595" t="s">
        <v>55</v>
      </c>
      <c r="AS7" s="598" t="s">
        <v>56</v>
      </c>
      <c r="AT7" s="598" t="s">
        <v>57</v>
      </c>
      <c r="AU7" s="601" t="s">
        <v>68</v>
      </c>
      <c r="BP7" s="94"/>
    </row>
    <row r="8" spans="2:68" ht="12.6" customHeight="1" x14ac:dyDescent="0.3">
      <c r="B8" s="633"/>
      <c r="C8" s="634"/>
      <c r="O8" s="636"/>
      <c r="P8" s="630"/>
      <c r="Q8" s="630"/>
      <c r="R8" s="111" t="s">
        <v>19</v>
      </c>
      <c r="S8" s="640"/>
      <c r="T8" s="641"/>
      <c r="U8" s="630"/>
      <c r="V8" s="630"/>
      <c r="W8" s="630"/>
      <c r="X8" s="629"/>
      <c r="Y8" s="114" t="str">
        <f>IF(AND(RIGHT(Category,2)="NY",LivBen&lt;&gt;"None"),"Income % Increase: "&amp;TEXT(IPI,"0.00%"),"")</f>
        <v/>
      </c>
      <c r="Z8" s="629"/>
      <c r="AA8" s="629"/>
      <c r="AB8" s="627"/>
      <c r="AC8" s="624"/>
      <c r="AD8" s="627"/>
      <c r="AE8" s="624"/>
      <c r="AF8" s="624"/>
      <c r="AG8" s="115" t="str">
        <f>IF(OR(RIGHT(Category,2)="NY",LivBen="None"),"",VLOOKUP(WDAge,Ref!$BC$7:$BF$39,2))</f>
        <v/>
      </c>
      <c r="AH8" s="629"/>
      <c r="AI8" s="629"/>
      <c r="AJ8" s="612"/>
      <c r="AL8" s="614"/>
      <c r="AM8" s="618"/>
      <c r="AN8" s="621"/>
      <c r="AO8" s="621"/>
      <c r="AP8" s="621"/>
      <c r="AQ8" s="593"/>
      <c r="AR8" s="595"/>
      <c r="AS8" s="598"/>
      <c r="AT8" s="598"/>
      <c r="AU8" s="601"/>
      <c r="BP8" s="94"/>
    </row>
    <row r="9" spans="2:68" ht="26.1" customHeight="1" x14ac:dyDescent="0.3">
      <c r="B9" s="116"/>
      <c r="C9" s="116"/>
      <c r="O9" s="636"/>
      <c r="P9" s="630"/>
      <c r="Q9" s="630"/>
      <c r="R9" s="604" t="s">
        <v>69</v>
      </c>
      <c r="S9" s="606" t="s">
        <v>47</v>
      </c>
      <c r="T9" s="117" t="str">
        <f>IF(OR(PTab="P7",AND(PTab="P2",Ref!$S$53="Y")),"Interest Earned including","Interest Earned")</f>
        <v>Interest Earned including</v>
      </c>
      <c r="U9" s="630"/>
      <c r="V9" s="630"/>
      <c r="W9" s="630"/>
      <c r="X9" s="629"/>
      <c r="Y9" s="599" t="str">
        <f>IF(PTab="P7","", "Annual Income for Life")</f>
        <v>Annual Income for Life</v>
      </c>
      <c r="Z9" s="629"/>
      <c r="AA9" s="629"/>
      <c r="AB9" s="609" t="s">
        <v>70</v>
      </c>
      <c r="AC9" s="624"/>
      <c r="AD9" s="627"/>
      <c r="AE9" s="624"/>
      <c r="AF9" s="624"/>
      <c r="AG9" s="599" t="str">
        <f>IF(RIGHT(Category,2)="NY","","Systematic / Lifetime Income Withdrawal Amount / RMD")</f>
        <v>Systematic / Lifetime Income Withdrawal Amount / RMD</v>
      </c>
      <c r="AH9" s="629"/>
      <c r="AI9" s="629"/>
      <c r="AJ9" s="612"/>
      <c r="AL9" s="615"/>
      <c r="AM9" s="618"/>
      <c r="AN9" s="621"/>
      <c r="AO9" s="621"/>
      <c r="AP9" s="621"/>
      <c r="AQ9" s="593"/>
      <c r="AR9" s="596"/>
      <c r="AS9" s="599"/>
      <c r="AT9" s="599"/>
      <c r="AU9" s="602"/>
      <c r="BP9" s="94"/>
    </row>
    <row r="10" spans="2:68" ht="39.9" customHeight="1" x14ac:dyDescent="0.3">
      <c r="O10" s="637"/>
      <c r="P10" s="605"/>
      <c r="Q10" s="605"/>
      <c r="R10" s="605"/>
      <c r="S10" s="607"/>
      <c r="T10" s="118" t="e" cm="1">
        <f t="array" aca="1" ref="T10" ca="1">IF(PTab="P7",IF(INDEX(INDIRECT(PTab&amp;"!$B$11:$EH$563"),MATCH(6&amp;"|"&amp;1,INDIRECT(PTab&amp;"!$D$11:$D$563")&amp;"|"&amp;INDIRECT(PTab&amp;"!$C$11:$C$563"),0),MATCH("Overlay Credit",INDIRECT(PTab&amp;"!$B$10:$EH$10"),0))=0,"Overlay Credit of zero","Overlay Credit of
"&amp;TEXT(INDEX(INDIRECT(PTab&amp;"!$B$11:$EH$563"),MATCH(6&amp;"|"&amp;1,INDIRECT(PTab&amp;"!$D$11:$D$563")&amp;"|"&amp;INDIRECT(PTab&amp;"!$C$11:$C$563"),0),MATCH("Overlay Credit",INDIRECT(PTab&amp;"!$B$10:$EH$10"),0)),"$#,###")),
IF(Ref!$S$53="Y",IF(SUM($AA$11:$AA$56)=0,"Aggregate GMAB Amount of zero","Aggreagate GMAB Amount of
"&amp;TEXT(SUM($AA$11:$AA$56),"$#,###")),""))</f>
        <v>#REF!</v>
      </c>
      <c r="U10" s="605"/>
      <c r="V10" s="605"/>
      <c r="W10" s="605"/>
      <c r="X10" s="608"/>
      <c r="Y10" s="608"/>
      <c r="Z10" s="608"/>
      <c r="AA10" s="608"/>
      <c r="AB10" s="610"/>
      <c r="AC10" s="625" t="s">
        <v>71</v>
      </c>
      <c r="AD10" s="628"/>
      <c r="AE10" s="625"/>
      <c r="AF10" s="625"/>
      <c r="AG10" s="608"/>
      <c r="AH10" s="608"/>
      <c r="AI10" s="608"/>
      <c r="AJ10" s="613"/>
      <c r="AL10" s="616"/>
      <c r="AM10" s="619"/>
      <c r="AN10" s="622"/>
      <c r="AO10" s="622"/>
      <c r="AP10" s="622"/>
      <c r="AQ10" s="594"/>
      <c r="AR10" s="597"/>
      <c r="AS10" s="600"/>
      <c r="AT10" s="600"/>
      <c r="AU10" s="603"/>
      <c r="BP10" s="94"/>
    </row>
    <row r="11" spans="2:68" ht="15.6" x14ac:dyDescent="0.3">
      <c r="B11" s="587" t="s">
        <v>72</v>
      </c>
      <c r="C11" s="588"/>
      <c r="O11" s="119">
        <v>0</v>
      </c>
      <c r="P11" s="120" t="e" cm="1">
        <f t="array" aca="1" ref="P11" ca="1">IF($O11="","",OFFSET(INDIRECT(PTab&amp;"!"&amp;CELL("address",$B$11)),12*$O11,0))</f>
        <v>#REF!</v>
      </c>
      <c r="Q11" s="121" t="e">
        <f t="shared" ref="Q11" ca="1" si="0">IF($O11="","",VLOOKUP($P11,INDIRECT(PTab&amp;"!$B:$EH"),Q$5,FALSE))</f>
        <v>#REF!</v>
      </c>
      <c r="R11" s="122">
        <f ca="1">IF($O11="","",IF(MOD(O11,LEFT($R$8))=0,IFERROR(INDEX(INDIRECT(R$7&amp;VLOOKUP(Summary,Ref!$Y$13:$AC$18,3,FALSE)),MATCH($P11,INDIRECT(R$7&amp;VLOOKUP(Summary,Ref!$Y$13:$AC$18,4,FALSE)),0),MATCH(R$8,INDIRECT(R$7&amp;VLOOKUP(Summary,Ref!$Y$13:$AC$18,5,FALSE)),0)),0),0))</f>
        <v>0</v>
      </c>
      <c r="S11" s="122" t="e">
        <f t="shared" ref="S11" ca="1" si="1">IF($O11="","",VLOOKUP($P11,INDIRECT(PTab&amp;"!$B:$EH"),S$5,FALSE))</f>
        <v>#REF!</v>
      </c>
      <c r="T11" s="123" t="e" cm="1">
        <f t="array" aca="1" ref="T11" ca="1">IF($O11="","",VLOOKUP($P11,INDIRECT(PTab&amp;"!$B:$EH"),T$5,FALSE)+IF(AND(PTab="P7",$O11=5),INDEX(INDIRECT(PTab&amp;"!$B$11:$EH$563"),MATCH(6&amp;"|"&amp;1,INDIRECT(PTab&amp;"!$D$11:$D$563")&amp;"|"&amp;INDIRECT(PTab&amp;"!$C$11:$C$563"),0),MATCH("Overlay Credit",INDIRECT(PTab&amp;"!$B$10:$EH$10"),0)),IF(AND(PTab="P2",Ref!$S$53="Y"),AA11,0)))</f>
        <v>#REF!</v>
      </c>
      <c r="U11" s="124" t="e">
        <f t="shared" ref="U11:W11" ca="1" si="2">IF($O11="","",VLOOKUP($P11,INDIRECT(PTab&amp;"!$B:$EH"),U$5,FALSE))</f>
        <v>#REF!</v>
      </c>
      <c r="V11" s="124" t="e">
        <f t="shared" ca="1" si="2"/>
        <v>#REF!</v>
      </c>
      <c r="W11" s="124" t="e">
        <f t="shared" ca="1" si="2"/>
        <v>#REF!</v>
      </c>
      <c r="X11" s="125" t="e">
        <f t="shared" ref="X11" ca="1" si="3">IF(OR($O11="",RIGHT(Category,2)="NY"),"",VLOOKUP($P11,INDIRECT(PTab&amp;"!$B:$EH"),X$5,FALSE))</f>
        <v>#REF!</v>
      </c>
      <c r="Y11" s="124" t="e">
        <f t="shared" ref="Y11" ca="1" si="4">IF($O11="","",VLOOKUP($P11,INDIRECT(PTab&amp;"!$B:$EH"),Y$5,FALSE))</f>
        <v>#REF!</v>
      </c>
      <c r="Z11" s="124">
        <f ca="1">IF($O11="","",SUM(AR11:AU11))</f>
        <v>0</v>
      </c>
      <c r="AA11" s="124" t="e">
        <f t="shared" ref="AA11" ca="1" si="5">IF(OR($O11="",RIGHT(Category,2)="NY"),"",VLOOKUP($P11,INDIRECT(PTab&amp;"!$B:$EH"),AA$5,FALSE))</f>
        <v>#REF!</v>
      </c>
      <c r="AB11" s="124"/>
      <c r="AC11" s="124" t="str">
        <f>IF($O11="","",IF(EICRInd="Not Available","Not Available",IF(OR($O11&lt;2,$Q11&lt;WDAge),"Eligibility Criteria Not Met",VLOOKUP(COUNTIFS($AD10:$AD$11,"Yes"),Ref!$AL$58:$AM$63,2))))</f>
        <v>Not Available</v>
      </c>
      <c r="AD11" s="126" t="s">
        <v>73</v>
      </c>
      <c r="AE11" s="124">
        <f t="shared" ref="AE11" ca="1" si="6">IF($O11="","",IFERROR(VLOOKUP(EOMONTH($P11,11),INDIRECT(PTab&amp;"!$B:$EH"),AE$5,FALSE),0))</f>
        <v>0</v>
      </c>
      <c r="AF11" s="124"/>
      <c r="AG11" s="124">
        <f t="shared" ref="AG11" ca="1" si="7">IF($O11="","",IFERROR(-VLOOKUP(EOMONTH($P11,11),INDIRECT(PTab&amp;"!$B:$EH"),AG$5,FALSE)-IF(OR(RMDInd="Yes",SWInd="Yes"),VLOOKUP(EOMONTH($P11,11),INDIRECT(PTab&amp;"!$B:$EH"),AB$5,FALSE)+AB11*(AB11&lt;&gt;""),0),0))</f>
        <v>0</v>
      </c>
      <c r="AH11" s="124">
        <f t="shared" ref="AH11" ca="1" si="8">IF($O11="","",IF(RIGHT(Category,2)="NY",IFERROR(-VLOOKUP($P11,INDIRECT(PTab&amp;"!$B:$EH"),AH$5,FALSE),0),IFERROR(VLOOKUP($P11,INDIRECT(PTab&amp;"!$B:$EH"),AH$5,FALSE),0)))</f>
        <v>0</v>
      </c>
      <c r="AI11" s="127">
        <f t="shared" ref="AI11" ca="1" si="9">IF($O11="","",IF($O11=0,IF(RIGHT(Category,2)="NY",AH11,SUM(AB11,AG11)),IF(RIGHT(Category,2)="NY",SUM(AH11,AI10),SUM(AB11,AE11*(AD11="Yes"),AG11,AI10))))</f>
        <v>0</v>
      </c>
      <c r="AJ11" s="127" t="e">
        <f t="shared" ref="AJ11" ca="1" si="10">IF($O11="","",VLOOKUP($P11,INDIRECT(PTab&amp;"!$B:$EH"),AJ$5,FALSE))</f>
        <v>#REF!</v>
      </c>
      <c r="AL11" s="125" t="e">
        <f t="shared" ref="AL11" ca="1" si="11">IF($O11="","",IF(OR(PTab="P3",PTab="P7"),VLOOKUP($P11,INDIRECT(PTab&amp;"!$B:$BA"),AL$5,FALSE),VLOOKUP(EOMONTH($P11,11),INDIRECT(PTab&amp;"!$B:$BA"),AL$5,FALSE)))</f>
        <v>#REF!</v>
      </c>
      <c r="AM11" s="128" t="e">
        <f ca="1">IF($O11="","",IF(OR(PTab="P7",Ref!$S$53="Y"),VLOOKUP($P11,INDIRECT(PTab&amp;"!$B:$EH"),AM$5,FALSE),""))</f>
        <v>#REF!</v>
      </c>
      <c r="AN11" s="124" t="str">
        <f t="shared" ref="AN11:AP11" ca="1" si="12">IF($O11="","",IF(PTab="P7",VLOOKUP($P11,INDIRECT(PTab&amp;"!$B:$EH"),AN$5,FALSE),""))</f>
        <v/>
      </c>
      <c r="AO11" s="124" t="str">
        <f t="shared" ca="1" si="12"/>
        <v/>
      </c>
      <c r="AP11" s="124" t="str">
        <f t="shared" ca="1" si="12"/>
        <v/>
      </c>
      <c r="AQ11" s="124" t="str">
        <f t="shared" ref="AQ11" ca="1" si="13">IF($O11="","", IF(PTab="P7",IF($P11=$P$11,0,MAX(AP11-(VLOOKUP($P11,INDIRECT(PTab&amp;"!$B:$EH"),AQ$5,FALSE)-AU11),0)),""))</f>
        <v/>
      </c>
      <c r="AR11" s="128">
        <f t="shared" ref="AR11:AU11" ca="1" si="14">IF($O11="","",IFERROR(-VLOOKUP($P11,INDIRECT(PTab&amp;"!$B:$EH"),AR$5,FALSE),0))</f>
        <v>0</v>
      </c>
      <c r="AS11" s="124">
        <f t="shared" ca="1" si="14"/>
        <v>0</v>
      </c>
      <c r="AT11" s="124">
        <f t="shared" ca="1" si="14"/>
        <v>0</v>
      </c>
      <c r="AU11" s="127">
        <f t="shared" ca="1" si="14"/>
        <v>0</v>
      </c>
      <c r="BP11" s="94"/>
    </row>
    <row r="12" spans="2:68" ht="15.6" x14ac:dyDescent="0.3">
      <c r="B12" s="129" t="s">
        <v>74</v>
      </c>
      <c r="C12" s="130" t="s">
        <v>75</v>
      </c>
      <c r="O12" s="131">
        <f t="shared" ref="O12" si="15">IFERROR(IF(AND(OR(Summary="Favorable",Summary="Unfavorable",Summary="Most Recent"),OR(($O11+1)&gt;10,$O11="")),"",IF(OR(($O11+1)&gt;Projection,$O11=""),"",$O11+1)),"")</f>
        <v>1</v>
      </c>
      <c r="P12" s="132" t="e" cm="1">
        <f t="array" aca="1" ref="P12" ca="1">IF($O12="","",OFFSET(INDIRECT(PTab&amp;"!"&amp;CELL("address",$B$11)),12*$O12,0))</f>
        <v>#REF!</v>
      </c>
      <c r="Q12" s="30" t="e">
        <f t="shared" ref="Q12" ca="1" si="16">IF($O12="","",VLOOKUP($P12,INDIRECT(PTab&amp;"!$B:$EH"),Q$5,FALSE))</f>
        <v>#REF!</v>
      </c>
      <c r="R12" s="133">
        <f ca="1">IF($O12="","",IF(MOD(O12,LEFT($R$8))=0,IFERROR(INDEX(INDIRECT(R$7&amp;VLOOKUP(Summary,Ref!$Y$13:$AC$18,3,FALSE)),MATCH($P12,INDIRECT(R$7&amp;VLOOKUP(Summary,Ref!$Y$13:$AC$18,4,FALSE)),0),MATCH(R$8,INDIRECT(R$7&amp;VLOOKUP(Summary,Ref!$Y$13:$AC$18,5,FALSE)),0)),0),0))</f>
        <v>0</v>
      </c>
      <c r="S12" s="133" t="e">
        <f t="shared" ref="S12" ca="1" si="17">IF($O12="","",VLOOKUP($P12,INDIRECT(PTab&amp;"!$B:$EH"),S$5,FALSE))</f>
        <v>#REF!</v>
      </c>
      <c r="T12" s="134" t="e" cm="1">
        <f t="array" aca="1" ref="T12" ca="1">IF($O12="","",VLOOKUP($P12,INDIRECT(PTab&amp;"!$B:$EH"),T$5,FALSE)+IF(AND(PTab="P7",$O12=5),INDEX(INDIRECT(PTab&amp;"!$B$11:$EH$563"),MATCH(6&amp;"|"&amp;1,INDIRECT(PTab&amp;"!$D$11:$D$563")&amp;"|"&amp;INDIRECT(PTab&amp;"!$C$11:$C$563"),0),MATCH("Overlay Credit",INDIRECT(PTab&amp;"!$B$10:$EH$10"),0)),IF(AND(PTab="P2",Ref!$S$53="Y"),AA12,0)))</f>
        <v>#REF!</v>
      </c>
      <c r="U12" s="36" t="e">
        <f t="shared" ref="U12:W12" ca="1" si="18">IF($O12="","",VLOOKUP($P12,INDIRECT(PTab&amp;"!$B:$EH"),U$5,FALSE))</f>
        <v>#REF!</v>
      </c>
      <c r="V12" s="36" t="e">
        <f t="shared" ca="1" si="18"/>
        <v>#REF!</v>
      </c>
      <c r="W12" s="36" t="e">
        <f t="shared" ca="1" si="18"/>
        <v>#REF!</v>
      </c>
      <c r="X12" s="135" t="e">
        <f t="shared" ref="X12" ca="1" si="19">IF(OR($O12="",RIGHT(Category,2)="NY"),"",VLOOKUP($P12,INDIRECT(PTab&amp;"!$B:$EH"),X$5,FALSE))</f>
        <v>#REF!</v>
      </c>
      <c r="Y12" s="36" t="e">
        <f t="shared" ref="Y12" ca="1" si="20">IF($O12="","",VLOOKUP($P12,INDIRECT(PTab&amp;"!$B:$EH"),Y$5,FALSE))</f>
        <v>#REF!</v>
      </c>
      <c r="Z12" s="36">
        <f t="shared" ref="Z12:Z51" ca="1" si="21">IF($O12="","",SUM(AR12:AU12))</f>
        <v>0</v>
      </c>
      <c r="AA12" s="36" t="e">
        <f t="shared" ref="AA12" ca="1" si="22">IF(OR($O12="",RIGHT(Category,2)="NY"),"",VLOOKUP($P12,INDIRECT(PTab&amp;"!$B:$EH"),AA$5,FALSE))</f>
        <v>#REF!</v>
      </c>
      <c r="AB12" s="136"/>
      <c r="AC12" s="36" t="str">
        <f>IF($O12="","",IF(EICRInd="Not Available","Not Available",IF(OR($O12&lt;2,$Q12&lt;WDAge),"Eligibility Criteria Not Met",VLOOKUP(COUNTIFS($AD11:$AD$11,"Yes"),Ref!$AL$58:$AM$63,2))))</f>
        <v>Not Available</v>
      </c>
      <c r="AD12" s="137" t="s">
        <v>73</v>
      </c>
      <c r="AE12" s="36">
        <f t="shared" ref="AE12" ca="1" si="23">IF($O12="","",IFERROR(VLOOKUP(EOMONTH($P12,11),INDIRECT(PTab&amp;"!$B:$EH"),AE$5,FALSE),0))</f>
        <v>0</v>
      </c>
      <c r="AF12" s="36"/>
      <c r="AG12" s="36">
        <f t="shared" ref="AG12" ca="1" si="24">IF($O12="","",IFERROR(-VLOOKUP(EOMONTH($P12,11),INDIRECT(PTab&amp;"!$B:$EH"),AG$5,FALSE)-IF(OR(RMDInd="Yes",SWInd="Yes"),VLOOKUP(EOMONTH($P12,11),INDIRECT(PTab&amp;"!$B:$EH"),AB$5,FALSE)+AB12*(AB12&lt;&gt;""),0),0))</f>
        <v>0</v>
      </c>
      <c r="AH12" s="36">
        <f t="shared" ref="AH12" ca="1" si="25">IF($O12="","",IF(RIGHT(Category,2)="NY",IFERROR(-VLOOKUP($P12,INDIRECT(PTab&amp;"!$B:$EH"),AH$5,FALSE),0),IFERROR(VLOOKUP($P12,INDIRECT(PTab&amp;"!$B:$EH"),AH$5,FALSE),0)))</f>
        <v>0</v>
      </c>
      <c r="AI12" s="37">
        <f t="shared" ref="AI12" ca="1" si="26">IF($O12="","",IF($O12=0,IF(RIGHT(Category,2)="NY",AH12,SUM(AB12,AG12)),IF(RIGHT(Category,2)="NY",SUM(AH12,AI11),SUM(AB12,AE12*(AD12="Yes"),AG12,AI11))))</f>
        <v>0</v>
      </c>
      <c r="AJ12" s="37" t="e">
        <f t="shared" ref="AJ12" ca="1" si="27">IF($O12="","",VLOOKUP($P12,INDIRECT(PTab&amp;"!$B:$EH"),AJ$5,FALSE))</f>
        <v>#REF!</v>
      </c>
      <c r="AL12" s="135" t="e">
        <f t="shared" ref="AL12" ca="1" si="28">IF($O12="","",IF(OR(PTab="P3",PTab="P7"),VLOOKUP($P12,INDIRECT(PTab&amp;"!$B:$BA"),AL$5,FALSE),VLOOKUP(EOMONTH($P12,11),INDIRECT(PTab&amp;"!$B:$BA"),AL$5,FALSE)))</f>
        <v>#REF!</v>
      </c>
      <c r="AM12" s="41" t="e">
        <f ca="1">IF($O12="","",IF(OR(PTab="P7",Ref!$S$53="Y"),VLOOKUP($P12,INDIRECT(PTab&amp;"!$B:$EH"),AM$5,FALSE),""))</f>
        <v>#REF!</v>
      </c>
      <c r="AN12" s="36" t="str">
        <f t="shared" ref="AN12:AP12" ca="1" si="29">IF($O12="","",IF(PTab="P7",VLOOKUP($P12,INDIRECT(PTab&amp;"!$B:$EH"),AN$5,FALSE),""))</f>
        <v/>
      </c>
      <c r="AO12" s="36" t="str">
        <f t="shared" ca="1" si="29"/>
        <v/>
      </c>
      <c r="AP12" s="36" t="str">
        <f t="shared" ca="1" si="29"/>
        <v/>
      </c>
      <c r="AQ12" s="36" t="str">
        <f t="shared" ref="AQ12" ca="1" si="30">IF($O12="","", IF(PTab="P7",IF($P12=$P$11,0,MAX(AP12-(VLOOKUP($P12,INDIRECT(PTab&amp;"!$B:$EH"),AQ$5,FALSE)-AU12),0)),""))</f>
        <v/>
      </c>
      <c r="AR12" s="41">
        <f t="shared" ref="AR12:AU12" ca="1" si="31">IF($O12="","",IFERROR(-VLOOKUP($P12,INDIRECT(PTab&amp;"!$B:$EH"),AR$5,FALSE),0))</f>
        <v>0</v>
      </c>
      <c r="AS12" s="36">
        <f t="shared" ca="1" si="31"/>
        <v>0</v>
      </c>
      <c r="AT12" s="36">
        <f t="shared" ca="1" si="31"/>
        <v>0</v>
      </c>
      <c r="AU12" s="37">
        <f t="shared" ca="1" si="31"/>
        <v>0</v>
      </c>
      <c r="BP12" s="94"/>
    </row>
    <row r="13" spans="2:68" x14ac:dyDescent="0.3">
      <c r="B13" s="138" t="s">
        <v>76</v>
      </c>
      <c r="C13" s="139" t="str">
        <f>VLOOKUP(Category,Ref!$AG$3:$AI$51,3,FALSE)</f>
        <v>P2</v>
      </c>
      <c r="O13" s="131">
        <f t="shared" ref="O13" si="32">IFERROR(IF(AND(OR(Summary="Favorable",Summary="Unfavorable",Summary="Most Recent"),OR(($O12+1)&gt;10,$O12="")),"",IF(OR(($O12+1)&gt;Projection,$O12=""),"",$O12+1)),"")</f>
        <v>2</v>
      </c>
      <c r="P13" s="132" t="e" cm="1">
        <f t="array" aca="1" ref="P13" ca="1">IF($O13="","",OFFSET(INDIRECT(PTab&amp;"!"&amp;CELL("address",$B$11)),12*$O13,0))</f>
        <v>#REF!</v>
      </c>
      <c r="Q13" s="30" t="e">
        <f t="shared" ref="Q13" ca="1" si="33">IF($O13="","",VLOOKUP($P13,INDIRECT(PTab&amp;"!$B:$EH"),Q$5,FALSE))</f>
        <v>#REF!</v>
      </c>
      <c r="R13" s="133">
        <f ca="1">IF($O13="","",IF(MOD(O13,LEFT($R$8))=0,IFERROR(INDEX(INDIRECT("'"&amp;R$7&amp;"'"&amp;VLOOKUP(Summary,Ref!$Y$13:$AC$18,3,FALSE)),MATCH($P13,INDIRECT(R$7&amp;VLOOKUP(Summary,Ref!$Y$13:$AC$18,4,FALSE)),0),MATCH(R$8,INDIRECT(R$7&amp;VLOOKUP(Summary,Ref!$Y$13:$AC$18,5,FALSE)),0)),0),0))</f>
        <v>0</v>
      </c>
      <c r="S13" s="133" t="e">
        <f t="shared" ref="S13" ca="1" si="34">IF($O13="","",VLOOKUP($P13,INDIRECT(PTab&amp;"!$B:$EH"),S$5,FALSE))</f>
        <v>#REF!</v>
      </c>
      <c r="T13" s="134" t="e" cm="1">
        <f t="array" aca="1" ref="T13" ca="1">IF($O13="","",VLOOKUP($P13,INDIRECT(PTab&amp;"!$B:$EH"),T$5,FALSE)+IF(AND(PTab="P7",$O13=5),INDEX(INDIRECT(PTab&amp;"!$B$11:$EH$563"),MATCH(6&amp;"|"&amp;1,INDIRECT(PTab&amp;"!$D$11:$D$563")&amp;"|"&amp;INDIRECT(PTab&amp;"!$C$11:$C$563"),0),MATCH("Overlay Credit",INDIRECT(PTab&amp;"!$B$10:$EH$10"),0)),IF(AND(PTab="P2",Ref!$S$53="Y"),AA13,0)))</f>
        <v>#REF!</v>
      </c>
      <c r="U13" s="36" t="e">
        <f t="shared" ref="U13:W13" ca="1" si="35">IF($O13="","",VLOOKUP($P13,INDIRECT(PTab&amp;"!$B:$EH"),U$5,FALSE))</f>
        <v>#REF!</v>
      </c>
      <c r="V13" s="36" t="e">
        <f t="shared" ca="1" si="35"/>
        <v>#REF!</v>
      </c>
      <c r="W13" s="36" t="e">
        <f t="shared" ca="1" si="35"/>
        <v>#REF!</v>
      </c>
      <c r="X13" s="135" t="e">
        <f t="shared" ref="X13" ca="1" si="36">IF(OR($O13="",RIGHT(Category,2)="NY"),"",VLOOKUP($P13,INDIRECT(PTab&amp;"!$B:$EH"),X$5,FALSE))</f>
        <v>#REF!</v>
      </c>
      <c r="Y13" s="36" t="e">
        <f t="shared" ref="Y13" ca="1" si="37">IF($O13="","",VLOOKUP($P13,INDIRECT(PTab&amp;"!$B:$EH"),Y$5,FALSE))</f>
        <v>#REF!</v>
      </c>
      <c r="Z13" s="36">
        <f t="shared" ca="1" si="21"/>
        <v>0</v>
      </c>
      <c r="AA13" s="36" t="e">
        <f t="shared" ref="AA13" ca="1" si="38">IF(OR($O13="",RIGHT(Category,2)="NY"),"",VLOOKUP($P13,INDIRECT(PTab&amp;"!$B:$EH"),AA$5,FALSE))</f>
        <v>#REF!</v>
      </c>
      <c r="AB13" s="136"/>
      <c r="AC13" s="36" t="str">
        <f>IF($O13="","",IF(EICRInd="Not Available","Not Available",IF(OR($O13&lt;2,$Q13&lt;WDAge),"Eligibility Criteria Not Met",VLOOKUP(COUNTIFS($AD$11:$AD12,"Yes"),Ref!$AL$58:$AM$63,2))))</f>
        <v>Not Available</v>
      </c>
      <c r="AD13" s="140" t="s">
        <v>73</v>
      </c>
      <c r="AE13" s="36">
        <f t="shared" ref="AE13" ca="1" si="39">IF($O13="","",IFERROR(VLOOKUP(EOMONTH($P13,11),INDIRECT(PTab&amp;"!$B:$EH"),AE$5,FALSE),0))</f>
        <v>0</v>
      </c>
      <c r="AF13" s="36"/>
      <c r="AG13" s="36">
        <f t="shared" ref="AG13" ca="1" si="40">IF($O13="","",IFERROR(-VLOOKUP(EOMONTH($P13,11),INDIRECT(PTab&amp;"!$B:$EH"),AG$5,FALSE)-IF(OR(RMDInd="Yes",SWInd="Yes"),VLOOKUP(EOMONTH($P13,11),INDIRECT(PTab&amp;"!$B:$EH"),AB$5,FALSE)+AB13*(AB13&lt;&gt;""),0),0))</f>
        <v>0</v>
      </c>
      <c r="AH13" s="36">
        <f t="shared" ref="AH13" ca="1" si="41">IF($O13="","",IF(RIGHT(Category,2)="NY",IFERROR(-VLOOKUP($P13,INDIRECT(PTab&amp;"!$B:$EH"),AH$5,FALSE),0),IFERROR(VLOOKUP($P13,INDIRECT(PTab&amp;"!$B:$EH"),AH$5,FALSE),0)))</f>
        <v>0</v>
      </c>
      <c r="AI13" s="37">
        <f t="shared" ref="AI13" ca="1" si="42">IF($O13="","",IF($O13=0,IF(RIGHT(Category,2)="NY",AH13,SUM(AB13,AG13)),IF(RIGHT(Category,2)="NY",SUM(AH13,AI12),SUM(AB13,AE13*(AD13="Yes"),AG13,AI12))))</f>
        <v>0</v>
      </c>
      <c r="AJ13" s="37" t="e">
        <f t="shared" ref="AJ13" ca="1" si="43">IF($O13="","",VLOOKUP($P13,INDIRECT(PTab&amp;"!$B:$EH"),AJ$5,FALSE))</f>
        <v>#REF!</v>
      </c>
      <c r="AL13" s="135" t="e">
        <f t="shared" ref="AL13" ca="1" si="44">IF($O13="","",IF(OR(PTab="P3",PTab="P7"),VLOOKUP($P13,INDIRECT(PTab&amp;"!$B:$BA"),AL$5,FALSE),VLOOKUP(EOMONTH($P13,11),INDIRECT(PTab&amp;"!$B:$BA"),AL$5,FALSE)))</f>
        <v>#REF!</v>
      </c>
      <c r="AM13" s="41" t="e">
        <f ca="1">IF($O13="","",IF(OR(PTab="P7",Ref!$S$53="Y"),VLOOKUP($P13,INDIRECT(PTab&amp;"!$B:$EH"),AM$5,FALSE),""))</f>
        <v>#REF!</v>
      </c>
      <c r="AN13" s="36" t="str">
        <f t="shared" ref="AN13:AP13" ca="1" si="45">IF($O13="","",IF(PTab="P7",VLOOKUP($P13,INDIRECT(PTab&amp;"!$B:$EH"),AN$5,FALSE),""))</f>
        <v/>
      </c>
      <c r="AO13" s="36" t="str">
        <f t="shared" ca="1" si="45"/>
        <v/>
      </c>
      <c r="AP13" s="36" t="str">
        <f t="shared" ca="1" si="45"/>
        <v/>
      </c>
      <c r="AQ13" s="36" t="str">
        <f t="shared" ref="AQ13" ca="1" si="46">IF($O13="","", IF(PTab="P7",IF($P13=$P$11,0,MAX(AP13-(VLOOKUP($P13,INDIRECT(PTab&amp;"!$B:$EH"),AQ$5,FALSE)-AU13),0)),""))</f>
        <v/>
      </c>
      <c r="AR13" s="41">
        <f t="shared" ref="AR13:AU13" ca="1" si="47">IF($O13="","",IFERROR(-VLOOKUP($P13,INDIRECT(PTab&amp;"!$B:$EH"),AR$5,FALSE),0))</f>
        <v>0</v>
      </c>
      <c r="AS13" s="36">
        <f t="shared" ca="1" si="47"/>
        <v>0</v>
      </c>
      <c r="AT13" s="36">
        <f t="shared" ca="1" si="47"/>
        <v>0</v>
      </c>
      <c r="AU13" s="37">
        <f t="shared" ca="1" si="47"/>
        <v>0</v>
      </c>
      <c r="BP13" s="94"/>
    </row>
    <row r="14" spans="2:68" ht="15.6" x14ac:dyDescent="0.3">
      <c r="B14" s="141" t="s">
        <v>32</v>
      </c>
      <c r="C14" s="142" t="s">
        <v>77</v>
      </c>
      <c r="O14" s="131">
        <f t="shared" ref="O14" si="48">IFERROR(IF(AND(OR(Summary="Favorable",Summary="Unfavorable",Summary="Most Recent"),OR(($O13+1)&gt;10,$O13="")),"",IF(OR(($O13+1)&gt;Projection,$O13=""),"",$O13+1)),"")</f>
        <v>3</v>
      </c>
      <c r="P14" s="132" t="e" cm="1">
        <f t="array" aca="1" ref="P14" ca="1">IF($O14="","",OFFSET(INDIRECT(PTab&amp;"!"&amp;CELL("address",$B$11)),12*$O14,0))</f>
        <v>#REF!</v>
      </c>
      <c r="Q14" s="30" t="e">
        <f t="shared" ref="Q14" ca="1" si="49">IF($O14="","",VLOOKUP($P14,INDIRECT(PTab&amp;"!$B:$EH"),Q$5,FALSE))</f>
        <v>#REF!</v>
      </c>
      <c r="R14" s="133">
        <f ca="1">IF($O14="","",IF(MOD(O14,LEFT($R$8))=0,IFERROR(INDEX(INDIRECT(R$7&amp;VLOOKUP(Summary,Ref!$Y$13:$AC$18,3,FALSE)),MATCH($P14,INDIRECT(R$7&amp;VLOOKUP(Summary,Ref!$Y$13:$AC$18,4,FALSE)),0),MATCH(R$8,INDIRECT(R$7&amp;VLOOKUP(Summary,Ref!$Y$13:$AC$18,5,FALSE)),0)),0),0))</f>
        <v>0</v>
      </c>
      <c r="S14" s="133" t="e">
        <f t="shared" ref="S14" ca="1" si="50">IF($O14="","",VLOOKUP($P14,INDIRECT(PTab&amp;"!$B:$EH"),S$5,FALSE))</f>
        <v>#REF!</v>
      </c>
      <c r="T14" s="134" t="e" cm="1">
        <f t="array" aca="1" ref="T14" ca="1">IF($O14="","",VLOOKUP($P14,INDIRECT(PTab&amp;"!$B:$EH"),T$5,FALSE)+IF(AND(PTab="P7",$O14=5),INDEX(INDIRECT(PTab&amp;"!$B$11:$EH$563"),MATCH(6&amp;"|"&amp;1,INDIRECT(PTab&amp;"!$D$11:$D$563")&amp;"|"&amp;INDIRECT(PTab&amp;"!$C$11:$C$563"),0),MATCH("Overlay Credit",INDIRECT(PTab&amp;"!$B$10:$EH$10"),0)),IF(AND(PTab="P2",Ref!$S$53="Y"),AA14,0)))</f>
        <v>#REF!</v>
      </c>
      <c r="U14" s="36" t="e">
        <f t="shared" ref="U14:W14" ca="1" si="51">IF($O14="","",VLOOKUP($P14,INDIRECT(PTab&amp;"!$B:$EH"),U$5,FALSE))</f>
        <v>#REF!</v>
      </c>
      <c r="V14" s="36" t="e">
        <f t="shared" ca="1" si="51"/>
        <v>#REF!</v>
      </c>
      <c r="W14" s="36" t="e">
        <f t="shared" ca="1" si="51"/>
        <v>#REF!</v>
      </c>
      <c r="X14" s="135" t="e">
        <f t="shared" ref="X14" ca="1" si="52">IF(OR($O14="",RIGHT(Category,2)="NY"),"",VLOOKUP($P14,INDIRECT(PTab&amp;"!$B:$EH"),X$5,FALSE))</f>
        <v>#REF!</v>
      </c>
      <c r="Y14" s="36" t="e">
        <f t="shared" ref="Y14" ca="1" si="53">IF($O14="","",VLOOKUP($P14,INDIRECT(PTab&amp;"!$B:$EH"),Y$5,FALSE))</f>
        <v>#REF!</v>
      </c>
      <c r="Z14" s="36">
        <f t="shared" ca="1" si="21"/>
        <v>0</v>
      </c>
      <c r="AA14" s="36" t="e">
        <f t="shared" ref="AA14" ca="1" si="54">IF(OR($O14="",RIGHT(Category,2)="NY"),"",VLOOKUP($P14,INDIRECT(PTab&amp;"!$B:$EH"),AA$5,FALSE))</f>
        <v>#REF!</v>
      </c>
      <c r="AB14" s="136"/>
      <c r="AC14" s="36" t="str">
        <f>IF($O14="","",IF(EICRInd="Not Available","Not Available",IF(OR($O14&lt;2,$Q14&lt;WDAge),"Eligibility Criteria Not Met",VLOOKUP(COUNTIFS($AD$11:$AD13,"Yes"),Ref!$AL$58:$AM$63,2))))</f>
        <v>Not Available</v>
      </c>
      <c r="AD14" s="140"/>
      <c r="AE14" s="36">
        <f t="shared" ref="AE14" ca="1" si="55">IF($O14="","",IFERROR(VLOOKUP(EOMONTH($P14,11),INDIRECT(PTab&amp;"!$B:$EH"),AE$5,FALSE),0))</f>
        <v>0</v>
      </c>
      <c r="AF14" s="36"/>
      <c r="AG14" s="36">
        <f t="shared" ref="AG14" ca="1" si="56">IF($O14="","",IFERROR(-VLOOKUP(EOMONTH($P14,11),INDIRECT(PTab&amp;"!$B:$EH"),AG$5,FALSE)-IF(OR(RMDInd="Yes",SWInd="Yes"),VLOOKUP(EOMONTH($P14,11),INDIRECT(PTab&amp;"!$B:$EH"),AB$5,FALSE)+AB14*(AB14&lt;&gt;""),0),0))</f>
        <v>0</v>
      </c>
      <c r="AH14" s="36">
        <f t="shared" ref="AH14" ca="1" si="57">IF($O14="","",IF(RIGHT(Category,2)="NY",IFERROR(-VLOOKUP($P14,INDIRECT(PTab&amp;"!$B:$EH"),AH$5,FALSE),0),IFERROR(VLOOKUP($P14,INDIRECT(PTab&amp;"!$B:$EH"),AH$5,FALSE),0)))</f>
        <v>0</v>
      </c>
      <c r="AI14" s="37">
        <f t="shared" ref="AI14" ca="1" si="58">IF($O14="","",IF($O14=0,IF(RIGHT(Category,2)="NY",AH14,SUM(AB14,AG14)),IF(RIGHT(Category,2)="NY",SUM(AH14,AI13),SUM(AB14,AE14*(AD14="Yes"),AG14,AI13))))</f>
        <v>0</v>
      </c>
      <c r="AJ14" s="37" t="e">
        <f t="shared" ref="AJ14" ca="1" si="59">IF($O14="","",VLOOKUP($P14,INDIRECT(PTab&amp;"!$B:$EH"),AJ$5,FALSE))</f>
        <v>#REF!</v>
      </c>
      <c r="AL14" s="135" t="e">
        <f t="shared" ref="AL14" ca="1" si="60">IF($O14="","",IF(OR(PTab="P3",PTab="P7"),VLOOKUP($P14,INDIRECT(PTab&amp;"!$B:$BA"),AL$5,FALSE),VLOOKUP(EOMONTH($P14,11),INDIRECT(PTab&amp;"!$B:$BA"),AL$5,FALSE)))</f>
        <v>#REF!</v>
      </c>
      <c r="AM14" s="41" t="e">
        <f ca="1">IF($O14="","",IF(OR(PTab="P7",Ref!$S$53="Y"),VLOOKUP($P14,INDIRECT(PTab&amp;"!$B:$EH"),AM$5,FALSE),""))</f>
        <v>#REF!</v>
      </c>
      <c r="AN14" s="36" t="str">
        <f t="shared" ref="AN14:AP14" ca="1" si="61">IF($O14="","",IF(PTab="P7",VLOOKUP($P14,INDIRECT(PTab&amp;"!$B:$EH"),AN$5,FALSE),""))</f>
        <v/>
      </c>
      <c r="AO14" s="36" t="str">
        <f t="shared" ca="1" si="61"/>
        <v/>
      </c>
      <c r="AP14" s="36" t="str">
        <f t="shared" ca="1" si="61"/>
        <v/>
      </c>
      <c r="AQ14" s="36" t="str">
        <f t="shared" ref="AQ14" ca="1" si="62">IF($O14="","", IF(PTab="P7",IF($P14=$P$11,0,MAX(AP14-(VLOOKUP($P14,INDIRECT(PTab&amp;"!$B:$EH"),AQ$5,FALSE)-AU14),0)),""))</f>
        <v/>
      </c>
      <c r="AR14" s="41">
        <f t="shared" ref="AR14:AU14" ca="1" si="63">IF($O14="","",IFERROR(-VLOOKUP($P14,INDIRECT(PTab&amp;"!$B:$EH"),AR$5,FALSE),0))</f>
        <v>0</v>
      </c>
      <c r="AS14" s="36">
        <f t="shared" ca="1" si="63"/>
        <v>0</v>
      </c>
      <c r="AT14" s="36">
        <f t="shared" ca="1" si="63"/>
        <v>0</v>
      </c>
      <c r="AU14" s="37">
        <f t="shared" ca="1" si="63"/>
        <v>0</v>
      </c>
      <c r="BP14" s="94"/>
    </row>
    <row r="15" spans="2:68" ht="15.6" x14ac:dyDescent="0.3">
      <c r="B15" s="589" t="s">
        <v>78</v>
      </c>
      <c r="C15" s="143">
        <v>5</v>
      </c>
      <c r="O15" s="131">
        <f t="shared" ref="O15" si="64">IFERROR(IF(AND(OR(Summary="Favorable",Summary="Unfavorable",Summary="Most Recent"),OR(($O14+1)&gt;10,$O14="")),"",IF(OR(($O14+1)&gt;Projection,$O14=""),"",$O14+1)),"")</f>
        <v>4</v>
      </c>
      <c r="P15" s="132" t="e" cm="1">
        <f t="array" aca="1" ref="P15" ca="1">IF($O15="","",OFFSET(INDIRECT(PTab&amp;"!"&amp;CELL("address",$B$11)),12*$O15,0))</f>
        <v>#REF!</v>
      </c>
      <c r="Q15" s="30" t="e">
        <f t="shared" ref="Q15" ca="1" si="65">IF($O15="","",VLOOKUP($P15,INDIRECT(PTab&amp;"!$B:$EH"),Q$5,FALSE))</f>
        <v>#REF!</v>
      </c>
      <c r="R15" s="133">
        <f ca="1">IF($O15="","",IF(MOD(O15,LEFT($R$8))=0,IFERROR(INDEX(INDIRECT(R$7&amp;VLOOKUP(Summary,Ref!$Y$13:$AC$18,3,FALSE)),MATCH($P15,INDIRECT(R$7&amp;VLOOKUP(Summary,Ref!$Y$13:$AC$18,4,FALSE)),0),MATCH(R$8,INDIRECT(R$7&amp;VLOOKUP(Summary,Ref!$Y$13:$AC$18,5,FALSE)),0)),0),0))</f>
        <v>0</v>
      </c>
      <c r="S15" s="133" t="e">
        <f t="shared" ref="S15" ca="1" si="66">IF($O15="","",VLOOKUP($P15,INDIRECT(PTab&amp;"!$B:$EH"),S$5,FALSE))</f>
        <v>#REF!</v>
      </c>
      <c r="T15" s="134" t="e" cm="1">
        <f t="array" aca="1" ref="T15" ca="1">IF($O15="","",VLOOKUP($P15,INDIRECT(PTab&amp;"!$B:$EH"),T$5,FALSE)+IF(AND(PTab="P7",$O15=5),INDEX(INDIRECT(PTab&amp;"!$B$11:$EH$563"),MATCH(6&amp;"|"&amp;1,INDIRECT(PTab&amp;"!$D$11:$D$563")&amp;"|"&amp;INDIRECT(PTab&amp;"!$C$11:$C$563"),0),MATCH("Overlay Credit",INDIRECT(PTab&amp;"!$B$10:$EH$10"),0)),IF(AND(PTab="P2",Ref!$S$53="Y"),AA15,0)))</f>
        <v>#REF!</v>
      </c>
      <c r="U15" s="36" t="e">
        <f t="shared" ref="U15:W15" ca="1" si="67">IF($O15="","",VLOOKUP($P15,INDIRECT(PTab&amp;"!$B:$EH"),U$5,FALSE))</f>
        <v>#REF!</v>
      </c>
      <c r="V15" s="36" t="e">
        <f t="shared" ca="1" si="67"/>
        <v>#REF!</v>
      </c>
      <c r="W15" s="36" t="e">
        <f t="shared" ca="1" si="67"/>
        <v>#REF!</v>
      </c>
      <c r="X15" s="135" t="e">
        <f t="shared" ref="X15" ca="1" si="68">IF(OR($O15="",RIGHT(Category,2)="NY"),"",VLOOKUP($P15,INDIRECT(PTab&amp;"!$B:$EH"),X$5,FALSE))</f>
        <v>#REF!</v>
      </c>
      <c r="Y15" s="36" t="e">
        <f t="shared" ref="Y15" ca="1" si="69">IF($O15="","",VLOOKUP($P15,INDIRECT(PTab&amp;"!$B:$EH"),Y$5,FALSE))</f>
        <v>#REF!</v>
      </c>
      <c r="Z15" s="36">
        <f t="shared" ca="1" si="21"/>
        <v>0</v>
      </c>
      <c r="AA15" s="36" t="e">
        <f t="shared" ref="AA15" ca="1" si="70">IF(OR($O15="",RIGHT(Category,2)="NY"),"",VLOOKUP($P15,INDIRECT(PTab&amp;"!$B:$EH"),AA$5,FALSE))</f>
        <v>#REF!</v>
      </c>
      <c r="AB15" s="136"/>
      <c r="AC15" s="36" t="str">
        <f>IF($O15="","",IF(EICRInd="Not Available","Not Available",IF(OR($O15&lt;2,$Q15&lt;WDAge),"Eligibility Criteria Not Met",VLOOKUP(COUNTIFS($AD$11:$AD14,"Yes"),Ref!$AL$58:$AM$63,2))))</f>
        <v>Not Available</v>
      </c>
      <c r="AD15" s="140"/>
      <c r="AE15" s="36">
        <f t="shared" ref="AE15" ca="1" si="71">IF($O15="","",IFERROR(VLOOKUP(EOMONTH($P15,11),INDIRECT(PTab&amp;"!$B:$EH"),AE$5,FALSE),0))</f>
        <v>0</v>
      </c>
      <c r="AF15" s="36"/>
      <c r="AG15" s="36">
        <f t="shared" ref="AG15" ca="1" si="72">IF($O15="","",IFERROR(-VLOOKUP(EOMONTH($P15,11),INDIRECT(PTab&amp;"!$B:$EH"),AG$5,FALSE)-IF(OR(RMDInd="Yes",SWInd="Yes"),VLOOKUP(EOMONTH($P15,11),INDIRECT(PTab&amp;"!$B:$EH"),AB$5,FALSE)+AB15*(AB15&lt;&gt;""),0),0))</f>
        <v>0</v>
      </c>
      <c r="AH15" s="36">
        <f t="shared" ref="AH15" ca="1" si="73">IF($O15="","",IF(RIGHT(Category,2)="NY",IFERROR(-VLOOKUP($P15,INDIRECT(PTab&amp;"!$B:$EH"),AH$5,FALSE),0),IFERROR(VLOOKUP($P15,INDIRECT(PTab&amp;"!$B:$EH"),AH$5,FALSE),0)))</f>
        <v>0</v>
      </c>
      <c r="AI15" s="37">
        <f t="shared" ref="AI15" ca="1" si="74">IF($O15="","",IF($O15=0,IF(RIGHT(Category,2)="NY",AH15,SUM(AB15,AG15)),IF(RIGHT(Category,2)="NY",SUM(AH15,AI14),SUM(AB15,AE15*(AD15="Yes"),AG15,AI14))))</f>
        <v>0</v>
      </c>
      <c r="AJ15" s="37" t="e">
        <f t="shared" ref="AJ15" ca="1" si="75">IF($O15="","",VLOOKUP($P15,INDIRECT(PTab&amp;"!$B:$EH"),AJ$5,FALSE))</f>
        <v>#REF!</v>
      </c>
      <c r="AL15" s="135" t="e">
        <f t="shared" ref="AL15" ca="1" si="76">IF($O15="","",IF(OR(PTab="P3",PTab="P7"),VLOOKUP($P15,INDIRECT(PTab&amp;"!$B:$BA"),AL$5,FALSE),VLOOKUP(EOMONTH($P15,11),INDIRECT(PTab&amp;"!$B:$BA"),AL$5,FALSE)))</f>
        <v>#REF!</v>
      </c>
      <c r="AM15" s="41" t="e">
        <f ca="1">IF($O15="","",IF(OR(PTab="P7",Ref!$S$53="Y"),VLOOKUP($P15,INDIRECT(PTab&amp;"!$B:$EH"),AM$5,FALSE),""))</f>
        <v>#REF!</v>
      </c>
      <c r="AN15" s="36" t="str">
        <f t="shared" ref="AN15:AP15" ca="1" si="77">IF($O15="","",IF(PTab="P7",VLOOKUP($P15,INDIRECT(PTab&amp;"!$B:$EH"),AN$5,FALSE),""))</f>
        <v/>
      </c>
      <c r="AO15" s="36" t="str">
        <f t="shared" ca="1" si="77"/>
        <v/>
      </c>
      <c r="AP15" s="36" t="str">
        <f t="shared" ca="1" si="77"/>
        <v/>
      </c>
      <c r="AQ15" s="36" t="str">
        <f t="shared" ref="AQ15" ca="1" si="78">IF($O15="","", IF(PTab="P7",IF($P15=$P$11,0,MAX(AP15-(VLOOKUP($P15,INDIRECT(PTab&amp;"!$B:$EH"),AQ$5,FALSE)-AU15),0)),""))</f>
        <v/>
      </c>
      <c r="AR15" s="41">
        <f t="shared" ref="AR15:AU15" ca="1" si="79">IF($O15="","",IFERROR(-VLOOKUP($P15,INDIRECT(PTab&amp;"!$B:$EH"),AR$5,FALSE),0))</f>
        <v>0</v>
      </c>
      <c r="AS15" s="36">
        <f t="shared" ca="1" si="79"/>
        <v>0</v>
      </c>
      <c r="AT15" s="36">
        <f t="shared" ca="1" si="79"/>
        <v>0</v>
      </c>
      <c r="AU15" s="37">
        <f t="shared" ca="1" si="79"/>
        <v>0</v>
      </c>
      <c r="BP15" s="94"/>
    </row>
    <row r="16" spans="2:68" ht="15.6" x14ac:dyDescent="0.3">
      <c r="B16" s="589"/>
      <c r="C16" s="144">
        <f>COUNTIFS(Ref!$C$56:$C$70,"&gt;0")</f>
        <v>7</v>
      </c>
      <c r="O16" s="131">
        <f t="shared" ref="O16" si="80">IFERROR(IF(AND(OR(Summary="Favorable",Summary="Unfavorable",Summary="Most Recent"),OR(($O15+1)&gt;10,$O15="")),"",IF(OR(($O15+1)&gt;Projection,$O15=""),"",$O15+1)),"")</f>
        <v>5</v>
      </c>
      <c r="P16" s="132" t="e" cm="1">
        <f t="array" aca="1" ref="P16" ca="1">IF($O16="","",OFFSET(INDIRECT(PTab&amp;"!"&amp;CELL("address",$B$11)),12*$O16,0))</f>
        <v>#REF!</v>
      </c>
      <c r="Q16" s="30" t="e">
        <f t="shared" ref="Q16" ca="1" si="81">IF($O16="","",VLOOKUP($P16,INDIRECT(PTab&amp;"!$B:$EH"),Q$5,FALSE))</f>
        <v>#REF!</v>
      </c>
      <c r="R16" s="133">
        <f ca="1">IF($O16="","",IF(MOD(O16,LEFT($R$8))=0,IFERROR(INDEX(INDIRECT(R$7&amp;VLOOKUP(Summary,Ref!$Y$13:$AC$18,3,FALSE)),MATCH($P16,INDIRECT(R$7&amp;VLOOKUP(Summary,Ref!$Y$13:$AC$18,4,FALSE)),0),MATCH(R$8,INDIRECT(R$7&amp;VLOOKUP(Summary,Ref!$Y$13:$AC$18,5,FALSE)),0)),0),0))</f>
        <v>0</v>
      </c>
      <c r="S16" s="133" t="e">
        <f t="shared" ref="S16" ca="1" si="82">IF($O16="","",VLOOKUP($P16,INDIRECT(PTab&amp;"!$B:$EH"),S$5,FALSE))</f>
        <v>#REF!</v>
      </c>
      <c r="T16" s="134" t="e" cm="1">
        <f t="array" aca="1" ref="T16" ca="1">IF($O16="","",VLOOKUP($P16,INDIRECT(PTab&amp;"!$B:$EH"),T$5,FALSE)+IF(AND(PTab="P7",$O16=5),INDEX(INDIRECT(PTab&amp;"!$B$11:$EH$563"),MATCH(6&amp;"|"&amp;1,INDIRECT(PTab&amp;"!$D$11:$D$563")&amp;"|"&amp;INDIRECT(PTab&amp;"!$C$11:$C$563"),0),MATCH("Overlay Credit",INDIRECT(PTab&amp;"!$B$10:$EH$10"),0)),IF(AND(PTab="P2",Ref!$S$53="Y"),AA16,0)))</f>
        <v>#REF!</v>
      </c>
      <c r="U16" s="36" t="e">
        <f t="shared" ref="U16:W16" ca="1" si="83">IF($O16="","",VLOOKUP($P16,INDIRECT(PTab&amp;"!$B:$EH"),U$5,FALSE))</f>
        <v>#REF!</v>
      </c>
      <c r="V16" s="36" t="e">
        <f t="shared" ca="1" si="83"/>
        <v>#REF!</v>
      </c>
      <c r="W16" s="36" t="e">
        <f t="shared" ca="1" si="83"/>
        <v>#REF!</v>
      </c>
      <c r="X16" s="135" t="e">
        <f t="shared" ref="X16" ca="1" si="84">IF(OR($O16="",RIGHT(Category,2)="NY"),"",VLOOKUP($P16,INDIRECT(PTab&amp;"!$B:$EH"),X$5,FALSE))</f>
        <v>#REF!</v>
      </c>
      <c r="Y16" s="36" t="e">
        <f t="shared" ref="Y16" ca="1" si="85">IF($O16="","",VLOOKUP($P16,INDIRECT(PTab&amp;"!$B:$EH"),Y$5,FALSE))</f>
        <v>#REF!</v>
      </c>
      <c r="Z16" s="36">
        <f t="shared" ca="1" si="21"/>
        <v>0</v>
      </c>
      <c r="AA16" s="36" t="e">
        <f t="shared" ref="AA16" ca="1" si="86">IF(OR($O16="",RIGHT(Category,2)="NY"),"",VLOOKUP($P16,INDIRECT(PTab&amp;"!$B:$EH"),AA$5,FALSE))</f>
        <v>#REF!</v>
      </c>
      <c r="AB16" s="136"/>
      <c r="AC16" s="36" t="str">
        <f>IF($O16="","",IF(EICRInd="Not Available","Not Available",IF(OR($O16&lt;2,$Q16&lt;WDAge),"Eligibility Criteria Not Met",VLOOKUP(COUNTIFS($AD$11:$AD15,"Yes"),Ref!$AL$58:$AM$63,2))))</f>
        <v>Not Available</v>
      </c>
      <c r="AD16" s="140"/>
      <c r="AE16" s="36">
        <f t="shared" ref="AE16" ca="1" si="87">IF($O16="","",IFERROR(VLOOKUP(EOMONTH($P16,11),INDIRECT(PTab&amp;"!$B:$EH"),AE$5,FALSE),0))</f>
        <v>0</v>
      </c>
      <c r="AF16" s="36"/>
      <c r="AG16" s="36">
        <f t="shared" ref="AG16" ca="1" si="88">IF($O16="","",IFERROR(-VLOOKUP(EOMONTH($P16,11),INDIRECT(PTab&amp;"!$B:$EH"),AG$5,FALSE)-IF(OR(RMDInd="Yes",SWInd="Yes"),VLOOKUP(EOMONTH($P16,11),INDIRECT(PTab&amp;"!$B:$EH"),AB$5,FALSE)+AB16*(AB16&lt;&gt;""),0),0))</f>
        <v>0</v>
      </c>
      <c r="AH16" s="36">
        <f t="shared" ref="AH16" ca="1" si="89">IF($O16="","",IF(RIGHT(Category,2)="NY",IFERROR(-VLOOKUP($P16,INDIRECT(PTab&amp;"!$B:$EH"),AH$5,FALSE),0),IFERROR(VLOOKUP($P16,INDIRECT(PTab&amp;"!$B:$EH"),AH$5,FALSE),0)))</f>
        <v>0</v>
      </c>
      <c r="AI16" s="37">
        <f t="shared" ref="AI16" ca="1" si="90">IF($O16="","",IF($O16=0,IF(RIGHT(Category,2)="NY",AH16,SUM(AB16,AG16)),IF(RIGHT(Category,2)="NY",SUM(AH16,AI15),SUM(AB16,AE16*(AD16="Yes"),AG16,AI15))))</f>
        <v>0</v>
      </c>
      <c r="AJ16" s="37" t="e">
        <f t="shared" ref="AJ16" ca="1" si="91">IF($O16="","",VLOOKUP($P16,INDIRECT(PTab&amp;"!$B:$EH"),AJ$5,FALSE))</f>
        <v>#REF!</v>
      </c>
      <c r="AL16" s="135" t="e">
        <f t="shared" ref="AL16" ca="1" si="92">IF($O16="","",IF(OR(PTab="P3",PTab="P7"),VLOOKUP($P16,INDIRECT(PTab&amp;"!$B:$BA"),AL$5,FALSE),VLOOKUP(EOMONTH($P16,11),INDIRECT(PTab&amp;"!$B:$BA"),AL$5,FALSE)))</f>
        <v>#REF!</v>
      </c>
      <c r="AM16" s="41" t="e">
        <f ca="1">IF($O16="","",IF(OR(PTab="P7",Ref!$S$53="Y"),VLOOKUP($P16,INDIRECT(PTab&amp;"!$B:$EH"),AM$5,FALSE),""))</f>
        <v>#REF!</v>
      </c>
      <c r="AN16" s="36" t="str">
        <f t="shared" ref="AN16:AP16" ca="1" si="93">IF($O16="","",IF(PTab="P7",VLOOKUP($P16,INDIRECT(PTab&amp;"!$B:$EH"),AN$5,FALSE),""))</f>
        <v/>
      </c>
      <c r="AO16" s="36" t="str">
        <f t="shared" ca="1" si="93"/>
        <v/>
      </c>
      <c r="AP16" s="36" t="str">
        <f t="shared" ca="1" si="93"/>
        <v/>
      </c>
      <c r="AQ16" s="36" t="str">
        <f t="shared" ref="AQ16" ca="1" si="94">IF($O16="","", IF(PTab="P7",IF($P16=$P$11,0,MAX(AP16-(VLOOKUP($P16,INDIRECT(PTab&amp;"!$B:$EH"),AQ$5,FALSE)-AU16),0)),""))</f>
        <v/>
      </c>
      <c r="AR16" s="41">
        <f t="shared" ref="AR16:AU16" ca="1" si="95">IF($O16="","",IFERROR(-VLOOKUP($P16,INDIRECT(PTab&amp;"!$B:$EH"),AR$5,FALSE),0))</f>
        <v>0</v>
      </c>
      <c r="AS16" s="36">
        <f t="shared" ca="1" si="95"/>
        <v>0</v>
      </c>
      <c r="AT16" s="36">
        <f t="shared" ca="1" si="95"/>
        <v>0</v>
      </c>
      <c r="AU16" s="37">
        <f t="shared" ca="1" si="95"/>
        <v>0</v>
      </c>
      <c r="BP16" s="94"/>
    </row>
    <row r="17" spans="2:68" ht="15.6" x14ac:dyDescent="0.3">
      <c r="B17" s="141" t="s">
        <v>35</v>
      </c>
      <c r="C17" s="142" t="s">
        <v>79</v>
      </c>
      <c r="O17" s="131">
        <f t="shared" ref="O17" si="96">IFERROR(IF(AND(OR(Summary="Favorable",Summary="Unfavorable",Summary="Most Recent"),OR(($O16+1)&gt;10,$O16="")),"",IF(OR(($O16+1)&gt;Projection,$O16=""),"",$O16+1)),"")</f>
        <v>6</v>
      </c>
      <c r="P17" s="132" t="e" cm="1">
        <f t="array" aca="1" ref="P17" ca="1">IF($O17="","",OFFSET(INDIRECT(PTab&amp;"!"&amp;CELL("address",$B$11)),12*$O17,0))</f>
        <v>#REF!</v>
      </c>
      <c r="Q17" s="30" t="e">
        <f t="shared" ref="Q17" ca="1" si="97">IF($O17="","",VLOOKUP($P17,INDIRECT(PTab&amp;"!$B:$EH"),Q$5,FALSE))</f>
        <v>#REF!</v>
      </c>
      <c r="R17" s="133">
        <f ca="1">IF($O17="","",IF(MOD(O17,LEFT($R$8))=0,IFERROR(INDEX(INDIRECT(R$7&amp;VLOOKUP(Summary,Ref!$Y$13:$AC$18,3,FALSE)),MATCH($P17,INDIRECT(R$7&amp;VLOOKUP(Summary,Ref!$Y$13:$AC$18,4,FALSE)),0),MATCH(R$8,INDIRECT(R$7&amp;VLOOKUP(Summary,Ref!$Y$13:$AC$18,5,FALSE)),0)),0),0))</f>
        <v>0</v>
      </c>
      <c r="S17" s="133" t="e">
        <f t="shared" ref="S17" ca="1" si="98">IF($O17="","",VLOOKUP($P17,INDIRECT(PTab&amp;"!$B:$EH"),S$5,FALSE))</f>
        <v>#REF!</v>
      </c>
      <c r="T17" s="134" t="e" cm="1">
        <f t="array" aca="1" ref="T17" ca="1">IF($O17="","",VLOOKUP($P17,INDIRECT(PTab&amp;"!$B:$EH"),T$5,FALSE)+IF(AND(PTab="P7",$O17=5),INDEX(INDIRECT(PTab&amp;"!$B$11:$EH$563"),MATCH(6&amp;"|"&amp;1,INDIRECT(PTab&amp;"!$D$11:$D$563")&amp;"|"&amp;INDIRECT(PTab&amp;"!$C$11:$C$563"),0),MATCH("Overlay Credit",INDIRECT(PTab&amp;"!$B$10:$EH$10"),0)),IF(AND(PTab="P2",Ref!$S$53="Y"),AA17,0)))</f>
        <v>#REF!</v>
      </c>
      <c r="U17" s="36" t="e">
        <f t="shared" ref="U17:W17" ca="1" si="99">IF($O17="","",VLOOKUP($P17,INDIRECT(PTab&amp;"!$B:$EH"),U$5,FALSE))</f>
        <v>#REF!</v>
      </c>
      <c r="V17" s="36" t="e">
        <f t="shared" ca="1" si="99"/>
        <v>#REF!</v>
      </c>
      <c r="W17" s="36" t="e">
        <f t="shared" ca="1" si="99"/>
        <v>#REF!</v>
      </c>
      <c r="X17" s="135" t="e">
        <f t="shared" ref="X17" ca="1" si="100">IF(OR($O17="",RIGHT(Category,2)="NY"),"",VLOOKUP($P17,INDIRECT(PTab&amp;"!$B:$EH"),X$5,FALSE))</f>
        <v>#REF!</v>
      </c>
      <c r="Y17" s="36" t="e">
        <f t="shared" ref="Y17" ca="1" si="101">IF($O17="","",VLOOKUP($P17,INDIRECT(PTab&amp;"!$B:$EH"),Y$5,FALSE))</f>
        <v>#REF!</v>
      </c>
      <c r="Z17" s="36">
        <f t="shared" ca="1" si="21"/>
        <v>0</v>
      </c>
      <c r="AA17" s="36" t="e">
        <f t="shared" ref="AA17" ca="1" si="102">IF(OR($O17="",RIGHT(Category,2)="NY"),"",VLOOKUP($P17,INDIRECT(PTab&amp;"!$B:$EH"),AA$5,FALSE))</f>
        <v>#REF!</v>
      </c>
      <c r="AB17" s="136"/>
      <c r="AC17" s="36" t="str">
        <f>IF($O17="","",IF(EICRInd="Not Available","Not Available",IF(OR($O17&lt;2,$Q17&lt;WDAge),"Eligibility Criteria Not Met",VLOOKUP(COUNTIFS($AD$11:$AD16,"Yes"),Ref!$AL$58:$AM$63,2))))</f>
        <v>Not Available</v>
      </c>
      <c r="AD17" s="140"/>
      <c r="AE17" s="36">
        <f t="shared" ref="AE17" ca="1" si="103">IF($O17="","",IFERROR(VLOOKUP(EOMONTH($P17,11),INDIRECT(PTab&amp;"!$B:$EH"),AE$5,FALSE),0))</f>
        <v>0</v>
      </c>
      <c r="AF17" s="36"/>
      <c r="AG17" s="36">
        <f t="shared" ref="AG17" ca="1" si="104">IF($O17="","",IFERROR(-VLOOKUP(EOMONTH($P17,11),INDIRECT(PTab&amp;"!$B:$EH"),AG$5,FALSE)-IF(OR(RMDInd="Yes",SWInd="Yes"),VLOOKUP(EOMONTH($P17,11),INDIRECT(PTab&amp;"!$B:$EH"),AB$5,FALSE)+AB17*(AB17&lt;&gt;""),0),0))</f>
        <v>0</v>
      </c>
      <c r="AH17" s="36">
        <f t="shared" ref="AH17" ca="1" si="105">IF($O17="","",IF(RIGHT(Category,2)="NY",IFERROR(-VLOOKUP($P17,INDIRECT(PTab&amp;"!$B:$EH"),AH$5,FALSE),0),IFERROR(VLOOKUP($P17,INDIRECT(PTab&amp;"!$B:$EH"),AH$5,FALSE),0)))</f>
        <v>0</v>
      </c>
      <c r="AI17" s="37">
        <f t="shared" ref="AI17" ca="1" si="106">IF($O17="","",IF($O17=0,IF(RIGHT(Category,2)="NY",AH17,SUM(AB17,AG17)),IF(RIGHT(Category,2)="NY",SUM(AH17,AI16),SUM(AB17,AE17*(AD17="Yes"),AG17,AI16))))</f>
        <v>0</v>
      </c>
      <c r="AJ17" s="37" t="e">
        <f t="shared" ref="AJ17" ca="1" si="107">IF($O17="","",VLOOKUP($P17,INDIRECT(PTab&amp;"!$B:$EH"),AJ$5,FALSE))</f>
        <v>#REF!</v>
      </c>
      <c r="AL17" s="135" t="e">
        <f t="shared" ref="AL17" ca="1" si="108">IF($O17="","",IF(OR(PTab="P3",PTab="P7"),VLOOKUP($P17,INDIRECT(PTab&amp;"!$B:$BA"),AL$5,FALSE),VLOOKUP(EOMONTH($P17,11),INDIRECT(PTab&amp;"!$B:$BA"),AL$5,FALSE)))</f>
        <v>#REF!</v>
      </c>
      <c r="AM17" s="41" t="e">
        <f ca="1">IF($O17="","",IF(OR(PTab="P7",Ref!$S$53="Y"),VLOOKUP($P17,INDIRECT(PTab&amp;"!$B:$EH"),AM$5,FALSE),""))</f>
        <v>#REF!</v>
      </c>
      <c r="AN17" s="36" t="str">
        <f t="shared" ref="AN17:AP17" ca="1" si="109">IF($O17="","",IF(PTab="P7",VLOOKUP($P17,INDIRECT(PTab&amp;"!$B:$EH"),AN$5,FALSE),""))</f>
        <v/>
      </c>
      <c r="AO17" s="36" t="str">
        <f t="shared" ca="1" si="109"/>
        <v/>
      </c>
      <c r="AP17" s="36" t="str">
        <f t="shared" ca="1" si="109"/>
        <v/>
      </c>
      <c r="AQ17" s="36" t="str">
        <f t="shared" ref="AQ17" ca="1" si="110">IF($O17="","", IF(PTab="P7",IF($P17=$P$11,0,MAX(AP17-(VLOOKUP($P17,INDIRECT(PTab&amp;"!$B:$EH"),AQ$5,FALSE)-AU17),0)),""))</f>
        <v/>
      </c>
      <c r="AR17" s="41">
        <f t="shared" ref="AR17:AU17" ca="1" si="111">IF($O17="","",IFERROR(-VLOOKUP($P17,INDIRECT(PTab&amp;"!$B:$EH"),AR$5,FALSE),0))</f>
        <v>0</v>
      </c>
      <c r="AS17" s="36">
        <f t="shared" ca="1" si="111"/>
        <v>0</v>
      </c>
      <c r="AT17" s="36">
        <f t="shared" ca="1" si="111"/>
        <v>0</v>
      </c>
      <c r="AU17" s="37">
        <f t="shared" ca="1" si="111"/>
        <v>0</v>
      </c>
      <c r="BP17" s="94"/>
    </row>
    <row r="18" spans="2:68" ht="15.6" x14ac:dyDescent="0.3">
      <c r="B18" s="141" t="s">
        <v>80</v>
      </c>
      <c r="C18" s="142" t="s">
        <v>81</v>
      </c>
      <c r="O18" s="131">
        <f t="shared" ref="O18" si="112">IFERROR(IF(AND(OR(Summary="Favorable",Summary="Unfavorable",Summary="Most Recent"),OR(($O17+1)&gt;10,$O17="")),"",IF(OR(($O17+1)&gt;Projection,$O17=""),"",$O17+1)),"")</f>
        <v>7</v>
      </c>
      <c r="P18" s="132" t="e" cm="1">
        <f t="array" aca="1" ref="P18" ca="1">IF($O18="","",OFFSET(INDIRECT(PTab&amp;"!"&amp;CELL("address",$B$11)),12*$O18,0))</f>
        <v>#REF!</v>
      </c>
      <c r="Q18" s="30" t="e">
        <f t="shared" ref="Q18" ca="1" si="113">IF($O18="","",VLOOKUP($P18,INDIRECT(PTab&amp;"!$B:$EH"),Q$5,FALSE))</f>
        <v>#REF!</v>
      </c>
      <c r="R18" s="133">
        <f ca="1">IF($O18="","",IF(MOD(O18,LEFT($R$8))=0,IFERROR(INDEX(INDIRECT(R$7&amp;VLOOKUP(Summary,Ref!$Y$13:$AC$18,3,FALSE)),MATCH($P18,INDIRECT(R$7&amp;VLOOKUP(Summary,Ref!$Y$13:$AC$18,4,FALSE)),0),MATCH(R$8,INDIRECT(R$7&amp;VLOOKUP(Summary,Ref!$Y$13:$AC$18,5,FALSE)),0)),0),0))</f>
        <v>0</v>
      </c>
      <c r="S18" s="133" t="e">
        <f t="shared" ref="S18" ca="1" si="114">IF($O18="","",VLOOKUP($P18,INDIRECT(PTab&amp;"!$B:$EH"),S$5,FALSE))</f>
        <v>#REF!</v>
      </c>
      <c r="T18" s="134" t="e" cm="1">
        <f t="array" aca="1" ref="T18" ca="1">IF($O18="","",VLOOKUP($P18,INDIRECT(PTab&amp;"!$B:$EH"),T$5,FALSE)+IF(AND(PTab="P7",$O18=5),INDEX(INDIRECT(PTab&amp;"!$B$11:$EH$563"),MATCH(6&amp;"|"&amp;1,INDIRECT(PTab&amp;"!$D$11:$D$563")&amp;"|"&amp;INDIRECT(PTab&amp;"!$C$11:$C$563"),0),MATCH("Overlay Credit",INDIRECT(PTab&amp;"!$B$10:$EH$10"),0)),IF(AND(PTab="P2",Ref!$S$53="Y"),AA18,0)))</f>
        <v>#REF!</v>
      </c>
      <c r="U18" s="36" t="e">
        <f t="shared" ref="U18:W18" ca="1" si="115">IF($O18="","",VLOOKUP($P18,INDIRECT(PTab&amp;"!$B:$EH"),U$5,FALSE))</f>
        <v>#REF!</v>
      </c>
      <c r="V18" s="36" t="e">
        <f t="shared" ca="1" si="115"/>
        <v>#REF!</v>
      </c>
      <c r="W18" s="36" t="e">
        <f t="shared" ca="1" si="115"/>
        <v>#REF!</v>
      </c>
      <c r="X18" s="135" t="e">
        <f t="shared" ref="X18" ca="1" si="116">IF(OR($O18="",RIGHT(Category,2)="NY"),"",VLOOKUP($P18,INDIRECT(PTab&amp;"!$B:$EH"),X$5,FALSE))</f>
        <v>#REF!</v>
      </c>
      <c r="Y18" s="36" t="e">
        <f t="shared" ref="Y18" ca="1" si="117">IF($O18="","",VLOOKUP($P18,INDIRECT(PTab&amp;"!$B:$EH"),Y$5,FALSE))</f>
        <v>#REF!</v>
      </c>
      <c r="Z18" s="36">
        <f t="shared" ca="1" si="21"/>
        <v>0</v>
      </c>
      <c r="AA18" s="36" t="e">
        <f t="shared" ref="AA18" ca="1" si="118">IF(OR($O18="",RIGHT(Category,2)="NY"),"",VLOOKUP($P18,INDIRECT(PTab&amp;"!$B:$EH"),AA$5,FALSE))</f>
        <v>#REF!</v>
      </c>
      <c r="AB18" s="136"/>
      <c r="AC18" s="36" t="str">
        <f>IF($O18="","",IF(EICRInd="Not Available","Not Available",IF(OR($O18&lt;2,$Q18&lt;WDAge),"Eligibility Criteria Not Met",VLOOKUP(COUNTIFS($AD$11:$AD17,"Yes"),Ref!$AL$58:$AM$63,2))))</f>
        <v>Not Available</v>
      </c>
      <c r="AD18" s="140"/>
      <c r="AE18" s="36">
        <f t="shared" ref="AE18" ca="1" si="119">IF($O18="","",IFERROR(VLOOKUP(EOMONTH($P18,11),INDIRECT(PTab&amp;"!$B:$EH"),AE$5,FALSE),0))</f>
        <v>0</v>
      </c>
      <c r="AF18" s="36"/>
      <c r="AG18" s="36">
        <f t="shared" ref="AG18" ca="1" si="120">IF($O18="","",IFERROR(-VLOOKUP(EOMONTH($P18,11),INDIRECT(PTab&amp;"!$B:$EH"),AG$5,FALSE)-IF(OR(RMDInd="Yes",SWInd="Yes"),VLOOKUP(EOMONTH($P18,11),INDIRECT(PTab&amp;"!$B:$EH"),AB$5,FALSE)+AB18*(AB18&lt;&gt;""),0),0))</f>
        <v>0</v>
      </c>
      <c r="AH18" s="36">
        <f t="shared" ref="AH18" ca="1" si="121">IF($O18="","",IF(RIGHT(Category,2)="NY",IFERROR(-VLOOKUP($P18,INDIRECT(PTab&amp;"!$B:$EH"),AH$5,FALSE),0),IFERROR(VLOOKUP($P18,INDIRECT(PTab&amp;"!$B:$EH"),AH$5,FALSE),0)))</f>
        <v>0</v>
      </c>
      <c r="AI18" s="37">
        <f t="shared" ref="AI18" ca="1" si="122">IF($O18="","",IF($O18=0,IF(RIGHT(Category,2)="NY",AH18,SUM(AB18,AG18)),IF(RIGHT(Category,2)="NY",SUM(AH18,AI17),SUM(AB18,AE18*(AD18="Yes"),AG18,AI17))))</f>
        <v>0</v>
      </c>
      <c r="AJ18" s="37" t="e">
        <f t="shared" ref="AJ18" ca="1" si="123">IF($O18="","",VLOOKUP($P18,INDIRECT(PTab&amp;"!$B:$EH"),AJ$5,FALSE))</f>
        <v>#REF!</v>
      </c>
      <c r="AL18" s="135" t="e">
        <f t="shared" ref="AL18" ca="1" si="124">IF($O18="","",IF(OR(PTab="P3",PTab="P7"),VLOOKUP($P18,INDIRECT(PTab&amp;"!$B:$BA"),AL$5,FALSE),VLOOKUP(EOMONTH($P18,11),INDIRECT(PTab&amp;"!$B:$BA"),AL$5,FALSE)))</f>
        <v>#REF!</v>
      </c>
      <c r="AM18" s="41" t="e">
        <f ca="1">IF($O18="","",IF(OR(PTab="P7",Ref!$S$53="Y"),VLOOKUP($P18,INDIRECT(PTab&amp;"!$B:$EH"),AM$5,FALSE),""))</f>
        <v>#REF!</v>
      </c>
      <c r="AN18" s="36" t="str">
        <f t="shared" ref="AN18:AP18" ca="1" si="125">IF($O18="","",IF(PTab="P7",VLOOKUP($P18,INDIRECT(PTab&amp;"!$B:$EH"),AN$5,FALSE),""))</f>
        <v/>
      </c>
      <c r="AO18" s="36" t="str">
        <f t="shared" ca="1" si="125"/>
        <v/>
      </c>
      <c r="AP18" s="36" t="str">
        <f t="shared" ca="1" si="125"/>
        <v/>
      </c>
      <c r="AQ18" s="36" t="str">
        <f t="shared" ref="AQ18" ca="1" si="126">IF($O18="","", IF(PTab="P7",IF($P18=$P$11,0,MAX(AP18-(VLOOKUP($P18,INDIRECT(PTab&amp;"!$B:$EH"),AQ$5,FALSE)-AU18),0)),""))</f>
        <v/>
      </c>
      <c r="AR18" s="41">
        <f t="shared" ref="AR18:AU18" ca="1" si="127">IF($O18="","",IFERROR(-VLOOKUP($P18,INDIRECT(PTab&amp;"!$B:$EH"),AR$5,FALSE),0))</f>
        <v>0</v>
      </c>
      <c r="AS18" s="36">
        <f t="shared" ca="1" si="127"/>
        <v>0</v>
      </c>
      <c r="AT18" s="36">
        <f t="shared" ca="1" si="127"/>
        <v>0</v>
      </c>
      <c r="AU18" s="37">
        <f t="shared" ca="1" si="127"/>
        <v>0</v>
      </c>
      <c r="BP18" s="94"/>
    </row>
    <row r="19" spans="2:68" ht="13.8" x14ac:dyDescent="0.3">
      <c r="B19" s="145" t="s">
        <v>82</v>
      </c>
      <c r="C19" s="146" t="s">
        <v>83</v>
      </c>
      <c r="O19" s="131">
        <f t="shared" ref="O19" si="128">IFERROR(IF(AND(OR(Summary="Favorable",Summary="Unfavorable",Summary="Most Recent"),OR(($O18+1)&gt;10,$O18="")),"",IF(OR(($O18+1)&gt;Projection,$O18=""),"",$O18+1)),"")</f>
        <v>8</v>
      </c>
      <c r="P19" s="132" t="e" cm="1">
        <f t="array" aca="1" ref="P19" ca="1">IF($O19="","",OFFSET(INDIRECT(PTab&amp;"!"&amp;CELL("address",$B$11)),12*$O19,0))</f>
        <v>#REF!</v>
      </c>
      <c r="Q19" s="30" t="e">
        <f t="shared" ref="Q19" ca="1" si="129">IF($O19="","",VLOOKUP($P19,INDIRECT(PTab&amp;"!$B:$EH"),Q$5,FALSE))</f>
        <v>#REF!</v>
      </c>
      <c r="R19" s="133">
        <f ca="1">IF($O19="","",IF(MOD(O19,LEFT($R$8))=0,IFERROR(INDEX(INDIRECT(R$7&amp;VLOOKUP(Summary,Ref!$Y$13:$AC$18,3,FALSE)),MATCH($P19,INDIRECT(R$7&amp;VLOOKUP(Summary,Ref!$Y$13:$AC$18,4,FALSE)),0),MATCH(R$8,INDIRECT(R$7&amp;VLOOKUP(Summary,Ref!$Y$13:$AC$18,5,FALSE)),0)),0),0))</f>
        <v>0</v>
      </c>
      <c r="S19" s="133" t="e">
        <f t="shared" ref="S19" ca="1" si="130">IF($O19="","",VLOOKUP($P19,INDIRECT(PTab&amp;"!$B:$EH"),S$5,FALSE))</f>
        <v>#REF!</v>
      </c>
      <c r="T19" s="134" t="e" cm="1">
        <f t="array" aca="1" ref="T19" ca="1">IF($O19="","",VLOOKUP($P19,INDIRECT(PTab&amp;"!$B:$EH"),T$5,FALSE)+IF(AND(PTab="P7",$O19=5),INDEX(INDIRECT(PTab&amp;"!$B$11:$EH$563"),MATCH(6&amp;"|"&amp;1,INDIRECT(PTab&amp;"!$D$11:$D$563")&amp;"|"&amp;INDIRECT(PTab&amp;"!$C$11:$C$563"),0),MATCH("Overlay Credit",INDIRECT(PTab&amp;"!$B$10:$EH$10"),0)),IF(AND(PTab="P2",Ref!$S$53="Y"),AA19,0)))</f>
        <v>#REF!</v>
      </c>
      <c r="U19" s="36" t="e">
        <f t="shared" ref="U19:W19" ca="1" si="131">IF($O19="","",VLOOKUP($P19,INDIRECT(PTab&amp;"!$B:$EH"),U$5,FALSE))</f>
        <v>#REF!</v>
      </c>
      <c r="V19" s="36" t="e">
        <f t="shared" ca="1" si="131"/>
        <v>#REF!</v>
      </c>
      <c r="W19" s="36" t="e">
        <f t="shared" ca="1" si="131"/>
        <v>#REF!</v>
      </c>
      <c r="X19" s="135" t="e">
        <f t="shared" ref="X19" ca="1" si="132">IF(OR($O19="",RIGHT(Category,2)="NY"),"",VLOOKUP($P19,INDIRECT(PTab&amp;"!$B:$EH"),X$5,FALSE))</f>
        <v>#REF!</v>
      </c>
      <c r="Y19" s="36" t="e">
        <f t="shared" ref="Y19" ca="1" si="133">IF($O19="","",VLOOKUP($P19,INDIRECT(PTab&amp;"!$B:$EH"),Y$5,FALSE))</f>
        <v>#REF!</v>
      </c>
      <c r="Z19" s="36">
        <f t="shared" ca="1" si="21"/>
        <v>0</v>
      </c>
      <c r="AA19" s="36" t="e">
        <f t="shared" ref="AA19" ca="1" si="134">IF(OR($O19="",RIGHT(Category,2)="NY"),"",VLOOKUP($P19,INDIRECT(PTab&amp;"!$B:$EH"),AA$5,FALSE))</f>
        <v>#REF!</v>
      </c>
      <c r="AB19" s="136"/>
      <c r="AC19" s="36" t="str">
        <f>IF($O19="","",IF(EICRInd="Not Available","Not Available",IF(OR($O19&lt;2,$Q19&lt;WDAge),"Eligibility Criteria Not Met",VLOOKUP(COUNTIFS($AD$11:$AD18,"Yes"),Ref!$AL$58:$AM$63,2))))</f>
        <v>Not Available</v>
      </c>
      <c r="AD19" s="140"/>
      <c r="AE19" s="36">
        <f t="shared" ref="AE19" ca="1" si="135">IF($O19="","",IFERROR(VLOOKUP(EOMONTH($P19,11),INDIRECT(PTab&amp;"!$B:$EH"),AE$5,FALSE),0))</f>
        <v>0</v>
      </c>
      <c r="AF19" s="36"/>
      <c r="AG19" s="36">
        <f t="shared" ref="AG19" ca="1" si="136">IF($O19="","",IFERROR(-VLOOKUP(EOMONTH($P19,11),INDIRECT(PTab&amp;"!$B:$EH"),AG$5,FALSE)-IF(OR(RMDInd="Yes",SWInd="Yes"),VLOOKUP(EOMONTH($P19,11),INDIRECT(PTab&amp;"!$B:$EH"),AB$5,FALSE)+AB19*(AB19&lt;&gt;""),0),0))</f>
        <v>0</v>
      </c>
      <c r="AH19" s="36">
        <f t="shared" ref="AH19" ca="1" si="137">IF($O19="","",IF(RIGHT(Category,2)="NY",IFERROR(-VLOOKUP($P19,INDIRECT(PTab&amp;"!$B:$EH"),AH$5,FALSE),0),IFERROR(VLOOKUP($P19,INDIRECT(PTab&amp;"!$B:$EH"),AH$5,FALSE),0)))</f>
        <v>0</v>
      </c>
      <c r="AI19" s="37">
        <f t="shared" ref="AI19" ca="1" si="138">IF($O19="","",IF($O19=0,IF(RIGHT(Category,2)="NY",AH19,SUM(AB19,AG19)),IF(RIGHT(Category,2)="NY",SUM(AH19,AI18),SUM(AB19,AE19*(AD19="Yes"),AG19,AI18))))</f>
        <v>0</v>
      </c>
      <c r="AJ19" s="37" t="e">
        <f t="shared" ref="AJ19" ca="1" si="139">IF($O19="","",VLOOKUP($P19,INDIRECT(PTab&amp;"!$B:$EH"),AJ$5,FALSE))</f>
        <v>#REF!</v>
      </c>
      <c r="AL19" s="135" t="e">
        <f t="shared" ref="AL19" ca="1" si="140">IF($O19="","",IF(OR(PTab="P3",PTab="P7"),VLOOKUP($P19,INDIRECT(PTab&amp;"!$B:$BA"),AL$5,FALSE),VLOOKUP(EOMONTH($P19,11),INDIRECT(PTab&amp;"!$B:$BA"),AL$5,FALSE)))</f>
        <v>#REF!</v>
      </c>
      <c r="AM19" s="41" t="e">
        <f ca="1">IF($O19="","",IF(OR(PTab="P7",Ref!$S$53="Y"),VLOOKUP($P19,INDIRECT(PTab&amp;"!$B:$EH"),AM$5,FALSE),""))</f>
        <v>#REF!</v>
      </c>
      <c r="AN19" s="36" t="str">
        <f t="shared" ref="AN19:AP19" ca="1" si="141">IF($O19="","",IF(PTab="P7",VLOOKUP($P19,INDIRECT(PTab&amp;"!$B:$EH"),AN$5,FALSE),""))</f>
        <v/>
      </c>
      <c r="AO19" s="36" t="str">
        <f t="shared" ca="1" si="141"/>
        <v/>
      </c>
      <c r="AP19" s="36" t="str">
        <f t="shared" ca="1" si="141"/>
        <v/>
      </c>
      <c r="AQ19" s="36" t="str">
        <f t="shared" ref="AQ19" ca="1" si="142">IF($O19="","", IF(PTab="P7",IF($P19=$P$11,0,MAX(AP19-(VLOOKUP($P19,INDIRECT(PTab&amp;"!$B:$EH"),AQ$5,FALSE)-AU19),0)),""))</f>
        <v/>
      </c>
      <c r="AR19" s="41">
        <f t="shared" ref="AR19:AU19" ca="1" si="143">IF($O19="","",IFERROR(-VLOOKUP($P19,INDIRECT(PTab&amp;"!$B:$EH"),AR$5,FALSE),0))</f>
        <v>0</v>
      </c>
      <c r="AS19" s="36">
        <f t="shared" ca="1" si="143"/>
        <v>0</v>
      </c>
      <c r="AT19" s="36">
        <f t="shared" ca="1" si="143"/>
        <v>0</v>
      </c>
      <c r="AU19" s="37">
        <f t="shared" ca="1" si="143"/>
        <v>0</v>
      </c>
      <c r="BP19" s="94"/>
    </row>
    <row r="20" spans="2:68" ht="13.8" x14ac:dyDescent="0.3">
      <c r="B20" s="145" t="s">
        <v>84</v>
      </c>
      <c r="C20" s="146" t="s">
        <v>73</v>
      </c>
      <c r="O20" s="131">
        <f t="shared" ref="O20" si="144">IFERROR(IF(AND(OR(Summary="Favorable",Summary="Unfavorable",Summary="Most Recent"),OR(($O19+1)&gt;10,$O19="")),"",IF(OR(($O19+1)&gt;Projection,$O19=""),"",$O19+1)),"")</f>
        <v>9</v>
      </c>
      <c r="P20" s="132" t="e" cm="1">
        <f t="array" aca="1" ref="P20" ca="1">IF($O20="","",OFFSET(INDIRECT(PTab&amp;"!"&amp;CELL("address",$B$11)),12*$O20,0))</f>
        <v>#REF!</v>
      </c>
      <c r="Q20" s="30" t="e">
        <f t="shared" ref="Q20" ca="1" si="145">IF($O20="","",VLOOKUP($P20,INDIRECT(PTab&amp;"!$B:$EH"),Q$5,FALSE))</f>
        <v>#REF!</v>
      </c>
      <c r="R20" s="133">
        <f ca="1">IF($O20="","",IF(MOD(O20,LEFT($R$8))=0,IFERROR(INDEX(INDIRECT(R$7&amp;VLOOKUP(Summary,Ref!$Y$13:$AC$18,3,FALSE)),MATCH($P20,INDIRECT(R$7&amp;VLOOKUP(Summary,Ref!$Y$13:$AC$18,4,FALSE)),0),MATCH(R$8,INDIRECT(R$7&amp;VLOOKUP(Summary,Ref!$Y$13:$AC$18,5,FALSE)),0)),0),0))</f>
        <v>0</v>
      </c>
      <c r="S20" s="133" t="e">
        <f t="shared" ref="S20" ca="1" si="146">IF($O20="","",VLOOKUP($P20,INDIRECT(PTab&amp;"!$B:$EH"),S$5,FALSE))</f>
        <v>#REF!</v>
      </c>
      <c r="T20" s="134" t="e" cm="1">
        <f t="array" aca="1" ref="T20" ca="1">IF($O20="","",VLOOKUP($P20,INDIRECT(PTab&amp;"!$B:$EH"),T$5,FALSE)+IF(AND(PTab="P7",$O20=5),INDEX(INDIRECT(PTab&amp;"!$B$11:$EH$563"),MATCH(6&amp;"|"&amp;1,INDIRECT(PTab&amp;"!$D$11:$D$563")&amp;"|"&amp;INDIRECT(PTab&amp;"!$C$11:$C$563"),0),MATCH("Overlay Credit",INDIRECT(PTab&amp;"!$B$10:$EH$10"),0)),IF(AND(PTab="P2",Ref!$S$53="Y"),AA20,0)))</f>
        <v>#REF!</v>
      </c>
      <c r="U20" s="36" t="e">
        <f t="shared" ref="U20:W20" ca="1" si="147">IF($O20="","",VLOOKUP($P20,INDIRECT(PTab&amp;"!$B:$EH"),U$5,FALSE))</f>
        <v>#REF!</v>
      </c>
      <c r="V20" s="36" t="e">
        <f t="shared" ca="1" si="147"/>
        <v>#REF!</v>
      </c>
      <c r="W20" s="36" t="e">
        <f t="shared" ca="1" si="147"/>
        <v>#REF!</v>
      </c>
      <c r="X20" s="135" t="e">
        <f t="shared" ref="X20" ca="1" si="148">IF(OR($O20="",RIGHT(Category,2)="NY"),"",VLOOKUP($P20,INDIRECT(PTab&amp;"!$B:$EH"),X$5,FALSE))</f>
        <v>#REF!</v>
      </c>
      <c r="Y20" s="36" t="e">
        <f t="shared" ref="Y20" ca="1" si="149">IF($O20="","",VLOOKUP($P20,INDIRECT(PTab&amp;"!$B:$EH"),Y$5,FALSE))</f>
        <v>#REF!</v>
      </c>
      <c r="Z20" s="36">
        <f t="shared" ca="1" si="21"/>
        <v>0</v>
      </c>
      <c r="AA20" s="36" t="e">
        <f t="shared" ref="AA20" ca="1" si="150">IF(OR($O20="",RIGHT(Category,2)="NY"),"",VLOOKUP($P20,INDIRECT(PTab&amp;"!$B:$EH"),AA$5,FALSE))</f>
        <v>#REF!</v>
      </c>
      <c r="AB20" s="136"/>
      <c r="AC20" s="36" t="str">
        <f>IF($O20="","",IF(EICRInd="Not Available","Not Available",IF(OR($O20&lt;2,$Q20&lt;WDAge),"Eligibility Criteria Not Met",VLOOKUP(COUNTIFS($AD$11:$AD19,"Yes"),Ref!$AL$58:$AM$63,2))))</f>
        <v>Not Available</v>
      </c>
      <c r="AD20" s="140"/>
      <c r="AE20" s="36">
        <f t="shared" ref="AE20" ca="1" si="151">IF($O20="","",IFERROR(VLOOKUP(EOMONTH($P20,11),INDIRECT(PTab&amp;"!$B:$EH"),AE$5,FALSE),0))</f>
        <v>0</v>
      </c>
      <c r="AF20" s="36"/>
      <c r="AG20" s="36">
        <f t="shared" ref="AG20" ca="1" si="152">IF($O20="","",IFERROR(-VLOOKUP(EOMONTH($P20,11),INDIRECT(PTab&amp;"!$B:$EH"),AG$5,FALSE)-IF(OR(RMDInd="Yes",SWInd="Yes"),VLOOKUP(EOMONTH($P20,11),INDIRECT(PTab&amp;"!$B:$EH"),AB$5,FALSE)+AB20*(AB20&lt;&gt;""),0),0))</f>
        <v>0</v>
      </c>
      <c r="AH20" s="36">
        <f t="shared" ref="AH20" ca="1" si="153">IF($O20="","",IF(RIGHT(Category,2)="NY",IFERROR(-VLOOKUP($P20,INDIRECT(PTab&amp;"!$B:$EH"),AH$5,FALSE),0),IFERROR(VLOOKUP($P20,INDIRECT(PTab&amp;"!$B:$EH"),AH$5,FALSE),0)))</f>
        <v>0</v>
      </c>
      <c r="AI20" s="37">
        <f t="shared" ref="AI20" ca="1" si="154">IF($O20="","",IF($O20=0,IF(RIGHT(Category,2)="NY",AH20,SUM(AB20,AG20)),IF(RIGHT(Category,2)="NY",SUM(AH20,AI19),SUM(AB20,AE20*(AD20="Yes"),AG20,AI19))))</f>
        <v>0</v>
      </c>
      <c r="AJ20" s="37" t="e">
        <f t="shared" ref="AJ20" ca="1" si="155">IF($O20="","",VLOOKUP($P20,INDIRECT(PTab&amp;"!$B:$EH"),AJ$5,FALSE))</f>
        <v>#REF!</v>
      </c>
      <c r="AL20" s="135" t="e">
        <f t="shared" ref="AL20" ca="1" si="156">IF($O20="","",IF(OR(PTab="P3",PTab="P7"),VLOOKUP($P20,INDIRECT(PTab&amp;"!$B:$BA"),AL$5,FALSE),VLOOKUP(EOMONTH($P20,11),INDIRECT(PTab&amp;"!$B:$BA"),AL$5,FALSE)))</f>
        <v>#REF!</v>
      </c>
      <c r="AM20" s="41" t="e">
        <f ca="1">IF($O20="","",IF(OR(PTab="P7",Ref!$S$53="Y"),VLOOKUP($P20,INDIRECT(PTab&amp;"!$B:$EH"),AM$5,FALSE),""))</f>
        <v>#REF!</v>
      </c>
      <c r="AN20" s="36" t="str">
        <f t="shared" ref="AN20:AP20" ca="1" si="157">IF($O20="","",IF(PTab="P7",VLOOKUP($P20,INDIRECT(PTab&amp;"!$B:$EH"),AN$5,FALSE),""))</f>
        <v/>
      </c>
      <c r="AO20" s="36" t="str">
        <f t="shared" ca="1" si="157"/>
        <v/>
      </c>
      <c r="AP20" s="36" t="str">
        <f t="shared" ca="1" si="157"/>
        <v/>
      </c>
      <c r="AQ20" s="36" t="str">
        <f t="shared" ref="AQ20" ca="1" si="158">IF($O20="","", IF(PTab="P7",IF($P20=$P$11,0,MAX(AP20-(VLOOKUP($P20,INDIRECT(PTab&amp;"!$B:$EH"),AQ$5,FALSE)-AU20),0)),""))</f>
        <v/>
      </c>
      <c r="AR20" s="41">
        <f t="shared" ref="AR20:AU20" ca="1" si="159">IF($O20="","",IFERROR(-VLOOKUP($P20,INDIRECT(PTab&amp;"!$B:$EH"),AR$5,FALSE),0))</f>
        <v>0</v>
      </c>
      <c r="AS20" s="36">
        <f t="shared" ca="1" si="159"/>
        <v>0</v>
      </c>
      <c r="AT20" s="36">
        <f t="shared" ca="1" si="159"/>
        <v>0</v>
      </c>
      <c r="AU20" s="37">
        <f t="shared" ca="1" si="159"/>
        <v>0</v>
      </c>
      <c r="BP20" s="94"/>
    </row>
    <row r="21" spans="2:68" ht="13.8" x14ac:dyDescent="0.3">
      <c r="B21" s="147" t="s">
        <v>85</v>
      </c>
      <c r="C21" s="148">
        <f>IF(OR(Ref!$R$53="N",MCIRInd="No"),999%,[1]GSPC!$J$33)</f>
        <v>9.99</v>
      </c>
      <c r="O21" s="131">
        <f t="shared" ref="O21" si="160">IFERROR(IF(AND(OR(Summary="Favorable",Summary="Unfavorable",Summary="Most Recent"),OR(($O20+1)&gt;10,$O20="")),"",IF(OR(($O20+1)&gt;Projection,$O20=""),"",$O20+1)),"")</f>
        <v>10</v>
      </c>
      <c r="P21" s="132" t="e" cm="1">
        <f t="array" aca="1" ref="P21" ca="1">IF($O21="","",OFFSET(INDIRECT(PTab&amp;"!"&amp;CELL("address",$B$11)),12*$O21,0))</f>
        <v>#REF!</v>
      </c>
      <c r="Q21" s="30" t="e">
        <f t="shared" ref="Q21" ca="1" si="161">IF($O21="","",VLOOKUP($P21,INDIRECT(PTab&amp;"!$B:$EH"),Q$5,FALSE))</f>
        <v>#REF!</v>
      </c>
      <c r="R21" s="133">
        <f ca="1">IF($O21="","",IF(MOD(O21,LEFT($R$8))=0,IFERROR(INDEX(INDIRECT(R$7&amp;VLOOKUP(Summary,Ref!$Y$13:$AC$18,3,FALSE)),MATCH($P21,INDIRECT(R$7&amp;VLOOKUP(Summary,Ref!$Y$13:$AC$18,4,FALSE)),0),MATCH(R$8,INDIRECT(R$7&amp;VLOOKUP(Summary,Ref!$Y$13:$AC$18,5,FALSE)),0)),0),0))</f>
        <v>0</v>
      </c>
      <c r="S21" s="133" t="e">
        <f t="shared" ref="S21" ca="1" si="162">IF($O21="","",VLOOKUP($P21,INDIRECT(PTab&amp;"!$B:$EH"),S$5,FALSE))</f>
        <v>#REF!</v>
      </c>
      <c r="T21" s="134" t="e" cm="1">
        <f t="array" aca="1" ref="T21" ca="1">IF($O21="","",VLOOKUP($P21,INDIRECT(PTab&amp;"!$B:$EH"),T$5,FALSE)+IF(AND(PTab="P7",$O21=5),INDEX(INDIRECT(PTab&amp;"!$B$11:$EH$563"),MATCH(6&amp;"|"&amp;1,INDIRECT(PTab&amp;"!$D$11:$D$563")&amp;"|"&amp;INDIRECT(PTab&amp;"!$C$11:$C$563"),0),MATCH("Overlay Credit",INDIRECT(PTab&amp;"!$B$10:$EH$10"),0)),IF(AND(PTab="P2",Ref!$S$53="Y"),AA21,0)))</f>
        <v>#REF!</v>
      </c>
      <c r="U21" s="36" t="e">
        <f t="shared" ref="U21:W21" ca="1" si="163">IF($O21="","",VLOOKUP($P21,INDIRECT(PTab&amp;"!$B:$EH"),U$5,FALSE))</f>
        <v>#REF!</v>
      </c>
      <c r="V21" s="36" t="e">
        <f t="shared" ca="1" si="163"/>
        <v>#REF!</v>
      </c>
      <c r="W21" s="36" t="e">
        <f t="shared" ca="1" si="163"/>
        <v>#REF!</v>
      </c>
      <c r="X21" s="135" t="e">
        <f t="shared" ref="X21" ca="1" si="164">IF(OR($O21="",RIGHT(Category,2)="NY"),"",VLOOKUP($P21,INDIRECT(PTab&amp;"!$B:$EH"),X$5,FALSE))</f>
        <v>#REF!</v>
      </c>
      <c r="Y21" s="36" t="e">
        <f t="shared" ref="Y21" ca="1" si="165">IF($O21="","",VLOOKUP($P21,INDIRECT(PTab&amp;"!$B:$EH"),Y$5,FALSE))</f>
        <v>#REF!</v>
      </c>
      <c r="Z21" s="36">
        <f t="shared" ca="1" si="21"/>
        <v>0</v>
      </c>
      <c r="AA21" s="36" t="e">
        <f t="shared" ref="AA21" ca="1" si="166">IF(OR($O21="",RIGHT(Category,2)="NY"),"",VLOOKUP($P21,INDIRECT(PTab&amp;"!$B:$EH"),AA$5,FALSE))</f>
        <v>#REF!</v>
      </c>
      <c r="AB21" s="136"/>
      <c r="AC21" s="36" t="str">
        <f>IF($O21="","",IF(EICRInd="Not Available","Not Available",IF(OR($O21&lt;2,$Q21&lt;WDAge),"Eligibility Criteria Not Met",VLOOKUP(COUNTIFS($AD$11:$AD20,"Yes"),Ref!$AL$58:$AM$63,2))))</f>
        <v>Not Available</v>
      </c>
      <c r="AD21" s="140"/>
      <c r="AE21" s="36">
        <f t="shared" ref="AE21" ca="1" si="167">IF($O21="","",IFERROR(VLOOKUP(EOMONTH($P21,11),INDIRECT(PTab&amp;"!$B:$EH"),AE$5,FALSE),0))</f>
        <v>0</v>
      </c>
      <c r="AF21" s="36"/>
      <c r="AG21" s="36">
        <f t="shared" ref="AG21" ca="1" si="168">IF($O21="","",IFERROR(-VLOOKUP(EOMONTH($P21,11),INDIRECT(PTab&amp;"!$B:$EH"),AG$5,FALSE)-IF(OR(RMDInd="Yes",SWInd="Yes"),VLOOKUP(EOMONTH($P21,11),INDIRECT(PTab&amp;"!$B:$EH"),AB$5,FALSE)+AB21*(AB21&lt;&gt;""),0),0))</f>
        <v>0</v>
      </c>
      <c r="AH21" s="36">
        <f t="shared" ref="AH21" ca="1" si="169">IF($O21="","",IF(RIGHT(Category,2)="NY",IFERROR(-VLOOKUP($P21,INDIRECT(PTab&amp;"!$B:$EH"),AH$5,FALSE),0),IFERROR(VLOOKUP($P21,INDIRECT(PTab&amp;"!$B:$EH"),AH$5,FALSE),0)))</f>
        <v>0</v>
      </c>
      <c r="AI21" s="37">
        <f t="shared" ref="AI21" ca="1" si="170">IF($O21="","",IF($O21=0,IF(RIGHT(Category,2)="NY",AH21,SUM(AB21,AG21)),IF(RIGHT(Category,2)="NY",SUM(AH21,AI20),SUM(AB21,AE21*(AD21="Yes"),AG21,AI20))))</f>
        <v>0</v>
      </c>
      <c r="AJ21" s="37" t="e">
        <f t="shared" ref="AJ21" ca="1" si="171">IF($O21="","",VLOOKUP($P21,INDIRECT(PTab&amp;"!$B:$EH"),AJ$5,FALSE))</f>
        <v>#REF!</v>
      </c>
      <c r="AL21" s="135" t="e">
        <f t="shared" ref="AL21" ca="1" si="172">IF($O21="","",IF(OR(PTab="P3",PTab="P7"),VLOOKUP($P21,INDIRECT(PTab&amp;"!$B:$BA"),AL$5,FALSE),VLOOKUP(EOMONTH($P21,11),INDIRECT(PTab&amp;"!$B:$BA"),AL$5,FALSE)))</f>
        <v>#REF!</v>
      </c>
      <c r="AM21" s="41" t="e">
        <f ca="1">IF($O21="","",IF(OR(PTab="P7",Ref!$S$53="Y"),VLOOKUP($P21,INDIRECT(PTab&amp;"!$B:$EH"),AM$5,FALSE),""))</f>
        <v>#REF!</v>
      </c>
      <c r="AN21" s="36" t="str">
        <f t="shared" ref="AN21:AP21" ca="1" si="173">IF($O21="","",IF(PTab="P7",VLOOKUP($P21,INDIRECT(PTab&amp;"!$B:$EH"),AN$5,FALSE),""))</f>
        <v/>
      </c>
      <c r="AO21" s="36" t="str">
        <f t="shared" ca="1" si="173"/>
        <v/>
      </c>
      <c r="AP21" s="36" t="str">
        <f t="shared" ca="1" si="173"/>
        <v/>
      </c>
      <c r="AQ21" s="36" t="str">
        <f t="shared" ref="AQ21" ca="1" si="174">IF($O21="","", IF(PTab="P7",IF($P21=$P$11,0,MAX(AP21-(VLOOKUP($P21,INDIRECT(PTab&amp;"!$B:$EH"),AQ$5,FALSE)-AU21),0)),""))</f>
        <v/>
      </c>
      <c r="AR21" s="41">
        <f t="shared" ref="AR21:AU21" ca="1" si="175">IF($O21="","",IFERROR(-VLOOKUP($P21,INDIRECT(PTab&amp;"!$B:$EH"),AR$5,FALSE),0))</f>
        <v>0</v>
      </c>
      <c r="AS21" s="36">
        <f t="shared" ca="1" si="175"/>
        <v>0</v>
      </c>
      <c r="AT21" s="36">
        <f t="shared" ca="1" si="175"/>
        <v>0</v>
      </c>
      <c r="AU21" s="37">
        <f t="shared" ca="1" si="175"/>
        <v>0</v>
      </c>
      <c r="BP21" s="94"/>
    </row>
    <row r="22" spans="2:68" x14ac:dyDescent="0.3">
      <c r="B22" s="149" t="s">
        <v>86</v>
      </c>
      <c r="O22" s="131">
        <f t="shared" ref="O22" si="176">IFERROR(IF(AND(OR(Summary="Favorable",Summary="Unfavorable",Summary="Most Recent"),OR(($O21+1)&gt;10,$O21="")),"",IF(OR(($O21+1)&gt;Projection,$O21=""),"",$O21+1)),"")</f>
        <v>11</v>
      </c>
      <c r="P22" s="132" t="e" cm="1">
        <f t="array" aca="1" ref="P22" ca="1">IF($O22="","",OFFSET(INDIRECT(PTab&amp;"!"&amp;CELL("address",$B$11)),12*$O22,0))</f>
        <v>#REF!</v>
      </c>
      <c r="Q22" s="30" t="e">
        <f t="shared" ref="Q22" ca="1" si="177">IF($O22="","",VLOOKUP($P22,INDIRECT(PTab&amp;"!$B:$EH"),Q$5,FALSE))</f>
        <v>#REF!</v>
      </c>
      <c r="R22" s="133">
        <f ca="1">IF($O22="","",IF(MOD(O22,LEFT($R$8))=0,IFERROR(INDEX(INDIRECT(R$7&amp;VLOOKUP(Summary,Ref!$Y$13:$AC$18,3,FALSE)),MATCH($P22,INDIRECT(R$7&amp;VLOOKUP(Summary,Ref!$Y$13:$AC$18,4,FALSE)),0),MATCH(R$8,INDIRECT(R$7&amp;VLOOKUP(Summary,Ref!$Y$13:$AC$18,5,FALSE)),0)),0),0))</f>
        <v>0</v>
      </c>
      <c r="S22" s="133" t="e">
        <f t="shared" ref="S22" ca="1" si="178">IF($O22="","",VLOOKUP($P22,INDIRECT(PTab&amp;"!$B:$EH"),S$5,FALSE))</f>
        <v>#REF!</v>
      </c>
      <c r="T22" s="134" t="e" cm="1">
        <f t="array" aca="1" ref="T22" ca="1">IF($O22="","",VLOOKUP($P22,INDIRECT(PTab&amp;"!$B:$EH"),T$5,FALSE)+IF(AND(PTab="P7",$O22=5),INDEX(INDIRECT(PTab&amp;"!$B$11:$EH$563"),MATCH(6&amp;"|"&amp;1,INDIRECT(PTab&amp;"!$D$11:$D$563")&amp;"|"&amp;INDIRECT(PTab&amp;"!$C$11:$C$563"),0),MATCH("Overlay Credit",INDIRECT(PTab&amp;"!$B$10:$EH$10"),0)),IF(AND(PTab="P2",Ref!$S$53="Y"),AA22,0)))</f>
        <v>#REF!</v>
      </c>
      <c r="U22" s="36" t="e">
        <f t="shared" ref="U22:W22" ca="1" si="179">IF($O22="","",VLOOKUP($P22,INDIRECT(PTab&amp;"!$B:$EH"),U$5,FALSE))</f>
        <v>#REF!</v>
      </c>
      <c r="V22" s="36" t="e">
        <f t="shared" ca="1" si="179"/>
        <v>#REF!</v>
      </c>
      <c r="W22" s="36" t="e">
        <f t="shared" ca="1" si="179"/>
        <v>#REF!</v>
      </c>
      <c r="X22" s="135" t="e">
        <f t="shared" ref="X22" ca="1" si="180">IF(OR($O22="",RIGHT(Category,2)="NY"),"",VLOOKUP($P22,INDIRECT(PTab&amp;"!$B:$EH"),X$5,FALSE))</f>
        <v>#REF!</v>
      </c>
      <c r="Y22" s="36" t="e">
        <f t="shared" ref="Y22" ca="1" si="181">IF($O22="","",VLOOKUP($P22,INDIRECT(PTab&amp;"!$B:$EH"),Y$5,FALSE))</f>
        <v>#REF!</v>
      </c>
      <c r="Z22" s="36">
        <f t="shared" ca="1" si="21"/>
        <v>0</v>
      </c>
      <c r="AA22" s="36" t="e">
        <f t="shared" ref="AA22" ca="1" si="182">IF(OR($O22="",RIGHT(Category,2)="NY"),"",VLOOKUP($P22,INDIRECT(PTab&amp;"!$B:$EH"),AA$5,FALSE))</f>
        <v>#REF!</v>
      </c>
      <c r="AB22" s="136"/>
      <c r="AC22" s="36" t="str">
        <f>IF($O22="","",IF(EICRInd="Not Available","Not Available",IF(OR($O22&lt;2,$Q22&lt;WDAge),"Eligibility Criteria Not Met",VLOOKUP(COUNTIFS($AD$11:$AD21,"Yes"),Ref!$AL$58:$AM$63,2))))</f>
        <v>Not Available</v>
      </c>
      <c r="AD22" s="140"/>
      <c r="AE22" s="36">
        <f t="shared" ref="AE22" ca="1" si="183">IF($O22="","",IFERROR(VLOOKUP(EOMONTH($P22,11),INDIRECT(PTab&amp;"!$B:$EH"),AE$5,FALSE),0))</f>
        <v>0</v>
      </c>
      <c r="AF22" s="36"/>
      <c r="AG22" s="36">
        <f t="shared" ref="AG22" ca="1" si="184">IF($O22="","",IFERROR(-VLOOKUP(EOMONTH($P22,11),INDIRECT(PTab&amp;"!$B:$EH"),AG$5,FALSE)-IF(OR(RMDInd="Yes",SWInd="Yes"),VLOOKUP(EOMONTH($P22,11),INDIRECT(PTab&amp;"!$B:$EH"),AB$5,FALSE)+AB22*(AB22&lt;&gt;""),0),0))</f>
        <v>0</v>
      </c>
      <c r="AH22" s="36">
        <f t="shared" ref="AH22" ca="1" si="185">IF($O22="","",IF(RIGHT(Category,2)="NY",IFERROR(-VLOOKUP($P22,INDIRECT(PTab&amp;"!$B:$EH"),AH$5,FALSE),0),IFERROR(VLOOKUP($P22,INDIRECT(PTab&amp;"!$B:$EH"),AH$5,FALSE),0)))</f>
        <v>0</v>
      </c>
      <c r="AI22" s="37">
        <f t="shared" ref="AI22" ca="1" si="186">IF($O22="","",IF($O22=0,IF(RIGHT(Category,2)="NY",AH22,SUM(AB22,AG22)),IF(RIGHT(Category,2)="NY",SUM(AH22,AI21),SUM(AB22,AE22*(AD22="Yes"),AG22,AI21))))</f>
        <v>0</v>
      </c>
      <c r="AJ22" s="37" t="e">
        <f t="shared" ref="AJ22" ca="1" si="187">IF($O22="","",VLOOKUP($P22,INDIRECT(PTab&amp;"!$B:$EH"),AJ$5,FALSE))</f>
        <v>#REF!</v>
      </c>
      <c r="AL22" s="135" t="e">
        <f t="shared" ref="AL22" ca="1" si="188">IF($O22="","",IF(OR(PTab="P3",PTab="P7"),VLOOKUP($P22,INDIRECT(PTab&amp;"!$B:$BA"),AL$5,FALSE),VLOOKUP(EOMONTH($P22,11),INDIRECT(PTab&amp;"!$B:$BA"),AL$5,FALSE)))</f>
        <v>#REF!</v>
      </c>
      <c r="AM22" s="41" t="e">
        <f ca="1">IF($O22="","",IF(OR(PTab="P7",Ref!$S$53="Y"),VLOOKUP($P22,INDIRECT(PTab&amp;"!$B:$EH"),AM$5,FALSE),""))</f>
        <v>#REF!</v>
      </c>
      <c r="AN22" s="36" t="str">
        <f t="shared" ref="AN22:AP22" ca="1" si="189">IF($O22="","",IF(PTab="P7",VLOOKUP($P22,INDIRECT(PTab&amp;"!$B:$EH"),AN$5,FALSE),""))</f>
        <v/>
      </c>
      <c r="AO22" s="36" t="str">
        <f t="shared" ca="1" si="189"/>
        <v/>
      </c>
      <c r="AP22" s="36" t="str">
        <f t="shared" ca="1" si="189"/>
        <v/>
      </c>
      <c r="AQ22" s="36" t="str">
        <f t="shared" ref="AQ22" ca="1" si="190">IF($O22="","", IF(PTab="P7",IF($P22=$P$11,0,MAX(AP22-(VLOOKUP($P22,INDIRECT(PTab&amp;"!$B:$EH"),AQ$5,FALSE)-AU22),0)),""))</f>
        <v/>
      </c>
      <c r="AR22" s="41">
        <f t="shared" ref="AR22:AU22" ca="1" si="191">IF($O22="","",IFERROR(-VLOOKUP($P22,INDIRECT(PTab&amp;"!$B:$EH"),AR$5,FALSE),0))</f>
        <v>0</v>
      </c>
      <c r="AS22" s="36">
        <f t="shared" ca="1" si="191"/>
        <v>0</v>
      </c>
      <c r="AT22" s="36">
        <f t="shared" ca="1" si="191"/>
        <v>0</v>
      </c>
      <c r="AU22" s="37">
        <f t="shared" ca="1" si="191"/>
        <v>0</v>
      </c>
      <c r="BP22" s="94"/>
    </row>
    <row r="23" spans="2:68" x14ac:dyDescent="0.3">
      <c r="B23" s="149" t="s">
        <v>87</v>
      </c>
      <c r="O23" s="131">
        <f t="shared" ref="O23" si="192">IFERROR(IF(AND(OR(Summary="Favorable",Summary="Unfavorable",Summary="Most Recent"),OR(($O22+1)&gt;10,$O22="")),"",IF(OR(($O22+1)&gt;Projection,$O22=""),"",$O22+1)),"")</f>
        <v>12</v>
      </c>
      <c r="P23" s="132" t="e" cm="1">
        <f t="array" aca="1" ref="P23" ca="1">IF($O23="","",OFFSET(INDIRECT(PTab&amp;"!"&amp;CELL("address",$B$11)),12*$O23,0))</f>
        <v>#REF!</v>
      </c>
      <c r="Q23" s="30" t="e">
        <f t="shared" ref="Q23" ca="1" si="193">IF($O23="","",VLOOKUP($P23,INDIRECT(PTab&amp;"!$B:$EH"),Q$5,FALSE))</f>
        <v>#REF!</v>
      </c>
      <c r="R23" s="133">
        <f ca="1">IF($O23="","",IF(MOD(O23,LEFT($R$8))=0,IFERROR(INDEX(INDIRECT(R$7&amp;VLOOKUP(Summary,Ref!$Y$13:$AC$18,3,FALSE)),MATCH($P23,INDIRECT(R$7&amp;VLOOKUP(Summary,Ref!$Y$13:$AC$18,4,FALSE)),0),MATCH(R$8,INDIRECT(R$7&amp;VLOOKUP(Summary,Ref!$Y$13:$AC$18,5,FALSE)),0)),0),0))</f>
        <v>0</v>
      </c>
      <c r="S23" s="133" t="e">
        <f t="shared" ref="S23" ca="1" si="194">IF($O23="","",VLOOKUP($P23,INDIRECT(PTab&amp;"!$B:$EH"),S$5,FALSE))</f>
        <v>#REF!</v>
      </c>
      <c r="T23" s="134" t="e" cm="1">
        <f t="array" aca="1" ref="T23" ca="1">IF($O23="","",VLOOKUP($P23,INDIRECT(PTab&amp;"!$B:$EH"),T$5,FALSE)+IF(AND(PTab="P7",$O23=5),INDEX(INDIRECT(PTab&amp;"!$B$11:$EH$563"),MATCH(6&amp;"|"&amp;1,INDIRECT(PTab&amp;"!$D$11:$D$563")&amp;"|"&amp;INDIRECT(PTab&amp;"!$C$11:$C$563"),0),MATCH("Overlay Credit",INDIRECT(PTab&amp;"!$B$10:$EH$10"),0)),IF(AND(PTab="P2",Ref!$S$53="Y"),AA23,0)))</f>
        <v>#REF!</v>
      </c>
      <c r="U23" s="36" t="e">
        <f t="shared" ref="U23:W23" ca="1" si="195">IF($O23="","",VLOOKUP($P23,INDIRECT(PTab&amp;"!$B:$EH"),U$5,FALSE))</f>
        <v>#REF!</v>
      </c>
      <c r="V23" s="36" t="e">
        <f t="shared" ca="1" si="195"/>
        <v>#REF!</v>
      </c>
      <c r="W23" s="36" t="e">
        <f t="shared" ca="1" si="195"/>
        <v>#REF!</v>
      </c>
      <c r="X23" s="135" t="e">
        <f t="shared" ref="X23" ca="1" si="196">IF(OR($O23="",RIGHT(Category,2)="NY"),"",VLOOKUP($P23,INDIRECT(PTab&amp;"!$B:$EH"),X$5,FALSE))</f>
        <v>#REF!</v>
      </c>
      <c r="Y23" s="36" t="e">
        <f t="shared" ref="Y23" ca="1" si="197">IF($O23="","",VLOOKUP($P23,INDIRECT(PTab&amp;"!$B:$EH"),Y$5,FALSE))</f>
        <v>#REF!</v>
      </c>
      <c r="Z23" s="36">
        <f t="shared" ca="1" si="21"/>
        <v>0</v>
      </c>
      <c r="AA23" s="36" t="e">
        <f t="shared" ref="AA23" ca="1" si="198">IF(OR($O23="",RIGHT(Category,2)="NY"),"",VLOOKUP($P23,INDIRECT(PTab&amp;"!$B:$EH"),AA$5,FALSE))</f>
        <v>#REF!</v>
      </c>
      <c r="AB23" s="136"/>
      <c r="AC23" s="36" t="str">
        <f>IF($O23="","",IF(EICRInd="Not Available","Not Available",IF(OR($O23&lt;2,$Q23&lt;WDAge),"Eligibility Criteria Not Met",VLOOKUP(COUNTIFS($AD$11:$AD22,"Yes"),Ref!$AL$58:$AM$63,2))))</f>
        <v>Not Available</v>
      </c>
      <c r="AD23" s="140"/>
      <c r="AE23" s="36">
        <f t="shared" ref="AE23" ca="1" si="199">IF($O23="","",IFERROR(VLOOKUP(EOMONTH($P23,11),INDIRECT(PTab&amp;"!$B:$EH"),AE$5,FALSE),0))</f>
        <v>0</v>
      </c>
      <c r="AF23" s="36"/>
      <c r="AG23" s="36">
        <f t="shared" ref="AG23" ca="1" si="200">IF($O23="","",IFERROR(-VLOOKUP(EOMONTH($P23,11),INDIRECT(PTab&amp;"!$B:$EH"),AG$5,FALSE)-IF(OR(RMDInd="Yes",SWInd="Yes"),VLOOKUP(EOMONTH($P23,11),INDIRECT(PTab&amp;"!$B:$EH"),AB$5,FALSE)+AB23*(AB23&lt;&gt;""),0),0))</f>
        <v>0</v>
      </c>
      <c r="AH23" s="36">
        <f t="shared" ref="AH23" ca="1" si="201">IF($O23="","",IF(RIGHT(Category,2)="NY",IFERROR(-VLOOKUP($P23,INDIRECT(PTab&amp;"!$B:$EH"),AH$5,FALSE),0),IFERROR(VLOOKUP($P23,INDIRECT(PTab&amp;"!$B:$EH"),AH$5,FALSE),0)))</f>
        <v>0</v>
      </c>
      <c r="AI23" s="37">
        <f t="shared" ref="AI23" ca="1" si="202">IF($O23="","",IF($O23=0,IF(RIGHT(Category,2)="NY",AH23,SUM(AB23,AG23)),IF(RIGHT(Category,2)="NY",SUM(AH23,AI22),SUM(AB23,AE23*(AD23="Yes"),AG23,AI22))))</f>
        <v>0</v>
      </c>
      <c r="AJ23" s="37" t="e">
        <f t="shared" ref="AJ23" ca="1" si="203">IF($O23="","",VLOOKUP($P23,INDIRECT(PTab&amp;"!$B:$EH"),AJ$5,FALSE))</f>
        <v>#REF!</v>
      </c>
      <c r="AL23" s="135" t="e">
        <f t="shared" ref="AL23" ca="1" si="204">IF($O23="","",IF(OR(PTab="P3",PTab="P7"),VLOOKUP($P23,INDIRECT(PTab&amp;"!$B:$BA"),AL$5,FALSE),VLOOKUP(EOMONTH($P23,11),INDIRECT(PTab&amp;"!$B:$BA"),AL$5,FALSE)))</f>
        <v>#REF!</v>
      </c>
      <c r="AM23" s="41" t="e">
        <f ca="1">IF($O23="","",IF(OR(PTab="P7",Ref!$S$53="Y"),VLOOKUP($P23,INDIRECT(PTab&amp;"!$B:$EH"),AM$5,FALSE),""))</f>
        <v>#REF!</v>
      </c>
      <c r="AN23" s="36" t="str">
        <f t="shared" ref="AN23:AP23" ca="1" si="205">IF($O23="","",IF(PTab="P7",VLOOKUP($P23,INDIRECT(PTab&amp;"!$B:$EH"),AN$5,FALSE),""))</f>
        <v/>
      </c>
      <c r="AO23" s="36" t="str">
        <f t="shared" ca="1" si="205"/>
        <v/>
      </c>
      <c r="AP23" s="36" t="str">
        <f t="shared" ca="1" si="205"/>
        <v/>
      </c>
      <c r="AQ23" s="36" t="str">
        <f t="shared" ref="AQ23" ca="1" si="206">IF($O23="","", IF(PTab="P7",IF($P23=$P$11,0,MAX(AP23-(VLOOKUP($P23,INDIRECT(PTab&amp;"!$B:$EH"),AQ$5,FALSE)-AU23),0)),""))</f>
        <v/>
      </c>
      <c r="AR23" s="41">
        <f t="shared" ref="AR23:AU23" ca="1" si="207">IF($O23="","",IFERROR(-VLOOKUP($P23,INDIRECT(PTab&amp;"!$B:$EH"),AR$5,FALSE),0))</f>
        <v>0</v>
      </c>
      <c r="AS23" s="36">
        <f t="shared" ca="1" si="207"/>
        <v>0</v>
      </c>
      <c r="AT23" s="36">
        <f t="shared" ca="1" si="207"/>
        <v>0</v>
      </c>
      <c r="AU23" s="37">
        <f t="shared" ca="1" si="207"/>
        <v>0</v>
      </c>
      <c r="BP23" s="94"/>
    </row>
    <row r="24" spans="2:68" x14ac:dyDescent="0.3">
      <c r="B24" s="150" t="s">
        <v>88</v>
      </c>
      <c r="O24" s="131">
        <f t="shared" ref="O24" si="208">IFERROR(IF(AND(OR(Summary="Favorable",Summary="Unfavorable",Summary="Most Recent"),OR(($O23+1)&gt;10,$O23="")),"",IF(OR(($O23+1)&gt;Projection,$O23=""),"",$O23+1)),"")</f>
        <v>13</v>
      </c>
      <c r="P24" s="132" t="e" cm="1">
        <f t="array" aca="1" ref="P24" ca="1">IF($O24="","",OFFSET(INDIRECT(PTab&amp;"!"&amp;CELL("address",$B$11)),12*$O24,0))</f>
        <v>#REF!</v>
      </c>
      <c r="Q24" s="30" t="e">
        <f t="shared" ref="Q24" ca="1" si="209">IF($O24="","",VLOOKUP($P24,INDIRECT(PTab&amp;"!$B:$EH"),Q$5,FALSE))</f>
        <v>#REF!</v>
      </c>
      <c r="R24" s="133">
        <f ca="1">IF($O24="","",IF(MOD(O24,LEFT($R$8))=0,IFERROR(INDEX(INDIRECT(R$7&amp;VLOOKUP(Summary,Ref!$Y$13:$AC$18,3,FALSE)),MATCH($P24,INDIRECT(R$7&amp;VLOOKUP(Summary,Ref!$Y$13:$AC$18,4,FALSE)),0),MATCH(R$8,INDIRECT(R$7&amp;VLOOKUP(Summary,Ref!$Y$13:$AC$18,5,FALSE)),0)),0),0))</f>
        <v>0</v>
      </c>
      <c r="S24" s="133" t="e">
        <f t="shared" ref="S24" ca="1" si="210">IF($O24="","",VLOOKUP($P24,INDIRECT(PTab&amp;"!$B:$EH"),S$5,FALSE))</f>
        <v>#REF!</v>
      </c>
      <c r="T24" s="134" t="e" cm="1">
        <f t="array" aca="1" ref="T24" ca="1">IF($O24="","",VLOOKUP($P24,INDIRECT(PTab&amp;"!$B:$EH"),T$5,FALSE)+IF(AND(PTab="P7",$O24=5),INDEX(INDIRECT(PTab&amp;"!$B$11:$EH$563"),MATCH(6&amp;"|"&amp;1,INDIRECT(PTab&amp;"!$D$11:$D$563")&amp;"|"&amp;INDIRECT(PTab&amp;"!$C$11:$C$563"),0),MATCH("Overlay Credit",INDIRECT(PTab&amp;"!$B$10:$EH$10"),0)),IF(AND(PTab="P2",Ref!$S$53="Y"),AA24,0)))</f>
        <v>#REF!</v>
      </c>
      <c r="U24" s="36" t="e">
        <f t="shared" ref="U24:W24" ca="1" si="211">IF($O24="","",VLOOKUP($P24,INDIRECT(PTab&amp;"!$B:$EH"),U$5,FALSE))</f>
        <v>#REF!</v>
      </c>
      <c r="V24" s="36" t="e">
        <f t="shared" ca="1" si="211"/>
        <v>#REF!</v>
      </c>
      <c r="W24" s="36" t="e">
        <f t="shared" ca="1" si="211"/>
        <v>#REF!</v>
      </c>
      <c r="X24" s="135" t="e">
        <f t="shared" ref="X24" ca="1" si="212">IF(OR($O24="",RIGHT(Category,2)="NY"),"",VLOOKUP($P24,INDIRECT(PTab&amp;"!$B:$EH"),X$5,FALSE))</f>
        <v>#REF!</v>
      </c>
      <c r="Y24" s="36" t="e">
        <f t="shared" ref="Y24" ca="1" si="213">IF($O24="","",VLOOKUP($P24,INDIRECT(PTab&amp;"!$B:$EH"),Y$5,FALSE))</f>
        <v>#REF!</v>
      </c>
      <c r="Z24" s="36">
        <f t="shared" ca="1" si="21"/>
        <v>0</v>
      </c>
      <c r="AA24" s="36" t="e">
        <f t="shared" ref="AA24" ca="1" si="214">IF(OR($O24="",RIGHT(Category,2)="NY"),"",VLOOKUP($P24,INDIRECT(PTab&amp;"!$B:$EH"),AA$5,FALSE))</f>
        <v>#REF!</v>
      </c>
      <c r="AB24" s="136"/>
      <c r="AC24" s="36" t="str">
        <f>IF($O24="","",IF(EICRInd="Not Available","Not Available",IF(OR($O24&lt;2,$Q24&lt;WDAge),"Eligibility Criteria Not Met",VLOOKUP(COUNTIFS($AD$11:$AD23,"Yes"),Ref!$AL$58:$AM$63,2))))</f>
        <v>Not Available</v>
      </c>
      <c r="AD24" s="140"/>
      <c r="AE24" s="36">
        <f t="shared" ref="AE24" ca="1" si="215">IF($O24="","",IFERROR(VLOOKUP(EOMONTH($P24,11),INDIRECT(PTab&amp;"!$B:$EH"),AE$5,FALSE),0))</f>
        <v>0</v>
      </c>
      <c r="AF24" s="36"/>
      <c r="AG24" s="36">
        <f t="shared" ref="AG24" ca="1" si="216">IF($O24="","",IFERROR(-VLOOKUP(EOMONTH($P24,11),INDIRECT(PTab&amp;"!$B:$EH"),AG$5,FALSE)-IF(OR(RMDInd="Yes",SWInd="Yes"),VLOOKUP(EOMONTH($P24,11),INDIRECT(PTab&amp;"!$B:$EH"),AB$5,FALSE)+AB24*(AB24&lt;&gt;""),0),0))</f>
        <v>0</v>
      </c>
      <c r="AH24" s="36">
        <f t="shared" ref="AH24" ca="1" si="217">IF($O24="","",IF(RIGHT(Category,2)="NY",IFERROR(-VLOOKUP($P24,INDIRECT(PTab&amp;"!$B:$EH"),AH$5,FALSE),0),IFERROR(VLOOKUP($P24,INDIRECT(PTab&amp;"!$B:$EH"),AH$5,FALSE),0)))</f>
        <v>0</v>
      </c>
      <c r="AI24" s="37">
        <f t="shared" ref="AI24" ca="1" si="218">IF($O24="","",IF($O24=0,IF(RIGHT(Category,2)="NY",AH24,SUM(AB24,AG24)),IF(RIGHT(Category,2)="NY",SUM(AH24,AI23),SUM(AB24,AE24*(AD24="Yes"),AG24,AI23))))</f>
        <v>0</v>
      </c>
      <c r="AJ24" s="37" t="e">
        <f t="shared" ref="AJ24" ca="1" si="219">IF($O24="","",VLOOKUP($P24,INDIRECT(PTab&amp;"!$B:$EH"),AJ$5,FALSE))</f>
        <v>#REF!</v>
      </c>
      <c r="AL24" s="135" t="e">
        <f t="shared" ref="AL24" ca="1" si="220">IF($O24="","",IF(OR(PTab="P3",PTab="P7"),VLOOKUP($P24,INDIRECT(PTab&amp;"!$B:$BA"),AL$5,FALSE),VLOOKUP(EOMONTH($P24,11),INDIRECT(PTab&amp;"!$B:$BA"),AL$5,FALSE)))</f>
        <v>#REF!</v>
      </c>
      <c r="AM24" s="41" t="e">
        <f ca="1">IF($O24="","",IF(OR(PTab="P7",Ref!$S$53="Y"),VLOOKUP($P24,INDIRECT(PTab&amp;"!$B:$EH"),AM$5,FALSE),""))</f>
        <v>#REF!</v>
      </c>
      <c r="AN24" s="36" t="str">
        <f t="shared" ref="AN24:AP24" ca="1" si="221">IF($O24="","",IF(PTab="P7",VLOOKUP($P24,INDIRECT(PTab&amp;"!$B:$EH"),AN$5,FALSE),""))</f>
        <v/>
      </c>
      <c r="AO24" s="36" t="str">
        <f t="shared" ca="1" si="221"/>
        <v/>
      </c>
      <c r="AP24" s="36" t="str">
        <f t="shared" ca="1" si="221"/>
        <v/>
      </c>
      <c r="AQ24" s="36" t="str">
        <f t="shared" ref="AQ24" ca="1" si="222">IF($O24="","", IF(PTab="P7",IF($P24=$P$11,0,MAX(AP24-(VLOOKUP($P24,INDIRECT(PTab&amp;"!$B:$EH"),AQ$5,FALSE)-AU24),0)),""))</f>
        <v/>
      </c>
      <c r="AR24" s="41">
        <f t="shared" ref="AR24:AU24" ca="1" si="223">IF($O24="","",IFERROR(-VLOOKUP($P24,INDIRECT(PTab&amp;"!$B:$EH"),AR$5,FALSE),0))</f>
        <v>0</v>
      </c>
      <c r="AS24" s="36">
        <f t="shared" ca="1" si="223"/>
        <v>0</v>
      </c>
      <c r="AT24" s="36">
        <f t="shared" ca="1" si="223"/>
        <v>0</v>
      </c>
      <c r="AU24" s="37">
        <f t="shared" ca="1" si="223"/>
        <v>0</v>
      </c>
      <c r="BP24" s="94"/>
    </row>
    <row r="25" spans="2:68" x14ac:dyDescent="0.3">
      <c r="B25" s="581" t="str">
        <f>IF(Ref!$C$56=0,"Product doesn't have surrender charges. Only Standard summary is illustrated","")</f>
        <v/>
      </c>
      <c r="C25" s="582"/>
      <c r="O25" s="131">
        <f t="shared" ref="O25" si="224">IFERROR(IF(AND(OR(Summary="Favorable",Summary="Unfavorable",Summary="Most Recent"),OR(($O24+1)&gt;10,$O24="")),"",IF(OR(($O24+1)&gt;Projection,$O24=""),"",$O24+1)),"")</f>
        <v>14</v>
      </c>
      <c r="P25" s="132" t="e" cm="1">
        <f t="array" aca="1" ref="P25" ca="1">IF($O25="","",OFFSET(INDIRECT(PTab&amp;"!"&amp;CELL("address",$B$11)),12*$O25,0))</f>
        <v>#REF!</v>
      </c>
      <c r="Q25" s="30" t="e">
        <f t="shared" ref="Q25" ca="1" si="225">IF($O25="","",VLOOKUP($P25,INDIRECT(PTab&amp;"!$B:$EH"),Q$5,FALSE))</f>
        <v>#REF!</v>
      </c>
      <c r="R25" s="133">
        <f ca="1">IF($O25="","",IF(MOD(O25,LEFT($R$8))=0,IFERROR(INDEX(INDIRECT(R$7&amp;VLOOKUP(Summary,Ref!$Y$13:$AC$18,3,FALSE)),MATCH($P25,INDIRECT(R$7&amp;VLOOKUP(Summary,Ref!$Y$13:$AC$18,4,FALSE)),0),MATCH(R$8,INDIRECT(R$7&amp;VLOOKUP(Summary,Ref!$Y$13:$AC$18,5,FALSE)),0)),0),0))</f>
        <v>0</v>
      </c>
      <c r="S25" s="133" t="e">
        <f t="shared" ref="S25" ca="1" si="226">IF($O25="","",VLOOKUP($P25,INDIRECT(PTab&amp;"!$B:$EH"),S$5,FALSE))</f>
        <v>#REF!</v>
      </c>
      <c r="T25" s="134" t="e" cm="1">
        <f t="array" aca="1" ref="T25" ca="1">IF($O25="","",VLOOKUP($P25,INDIRECT(PTab&amp;"!$B:$EH"),T$5,FALSE)+IF(AND(PTab="P7",$O25=5),INDEX(INDIRECT(PTab&amp;"!$B$11:$EH$563"),MATCH(6&amp;"|"&amp;1,INDIRECT(PTab&amp;"!$D$11:$D$563")&amp;"|"&amp;INDIRECT(PTab&amp;"!$C$11:$C$563"),0),MATCH("Overlay Credit",INDIRECT(PTab&amp;"!$B$10:$EH$10"),0)),IF(AND(PTab="P2",Ref!$S$53="Y"),AA25,0)))</f>
        <v>#REF!</v>
      </c>
      <c r="U25" s="36" t="e">
        <f t="shared" ref="U25:W25" ca="1" si="227">IF($O25="","",VLOOKUP($P25,INDIRECT(PTab&amp;"!$B:$EH"),U$5,FALSE))</f>
        <v>#REF!</v>
      </c>
      <c r="V25" s="36" t="e">
        <f t="shared" ca="1" si="227"/>
        <v>#REF!</v>
      </c>
      <c r="W25" s="36" t="e">
        <f t="shared" ca="1" si="227"/>
        <v>#REF!</v>
      </c>
      <c r="X25" s="135" t="e">
        <f t="shared" ref="X25" ca="1" si="228">IF(OR($O25="",RIGHT(Category,2)="NY"),"",VLOOKUP($P25,INDIRECT(PTab&amp;"!$B:$EH"),X$5,FALSE))</f>
        <v>#REF!</v>
      </c>
      <c r="Y25" s="36" t="e">
        <f t="shared" ref="Y25" ca="1" si="229">IF($O25="","",VLOOKUP($P25,INDIRECT(PTab&amp;"!$B:$EH"),Y$5,FALSE))</f>
        <v>#REF!</v>
      </c>
      <c r="Z25" s="36">
        <f t="shared" ca="1" si="21"/>
        <v>0</v>
      </c>
      <c r="AA25" s="36" t="e">
        <f t="shared" ref="AA25" ca="1" si="230">IF(OR($O25="",RIGHT(Category,2)="NY"),"",VLOOKUP($P25,INDIRECT(PTab&amp;"!$B:$EH"),AA$5,FALSE))</f>
        <v>#REF!</v>
      </c>
      <c r="AB25" s="136"/>
      <c r="AC25" s="36" t="str">
        <f>IF($O25="","",IF(EICRInd="Not Available","Not Available",IF(OR($O25&lt;2,$Q25&lt;WDAge),"Eligibility Criteria Not Met",VLOOKUP(COUNTIFS($AD$11:$AD24,"Yes"),Ref!$AL$58:$AM$63,2))))</f>
        <v>Not Available</v>
      </c>
      <c r="AD25" s="140"/>
      <c r="AE25" s="36">
        <f t="shared" ref="AE25" ca="1" si="231">IF($O25="","",IFERROR(VLOOKUP(EOMONTH($P25,11),INDIRECT(PTab&amp;"!$B:$EH"),AE$5,FALSE),0))</f>
        <v>0</v>
      </c>
      <c r="AF25" s="36"/>
      <c r="AG25" s="36">
        <f t="shared" ref="AG25" ca="1" si="232">IF($O25="","",IFERROR(-VLOOKUP(EOMONTH($P25,11),INDIRECT(PTab&amp;"!$B:$EH"),AG$5,FALSE)-IF(OR(RMDInd="Yes",SWInd="Yes"),VLOOKUP(EOMONTH($P25,11),INDIRECT(PTab&amp;"!$B:$EH"),AB$5,FALSE)+AB25*(AB25&lt;&gt;""),0),0))</f>
        <v>0</v>
      </c>
      <c r="AH25" s="36">
        <f t="shared" ref="AH25" ca="1" si="233">IF($O25="","",IF(RIGHT(Category,2)="NY",IFERROR(-VLOOKUP($P25,INDIRECT(PTab&amp;"!$B:$EH"),AH$5,FALSE),0),IFERROR(VLOOKUP($P25,INDIRECT(PTab&amp;"!$B:$EH"),AH$5,FALSE),0)))</f>
        <v>0</v>
      </c>
      <c r="AI25" s="37">
        <f t="shared" ref="AI25" ca="1" si="234">IF($O25="","",IF($O25=0,IF(RIGHT(Category,2)="NY",AH25,SUM(AB25,AG25)),IF(RIGHT(Category,2)="NY",SUM(AH25,AI24),SUM(AB25,AE25*(AD25="Yes"),AG25,AI24))))</f>
        <v>0</v>
      </c>
      <c r="AJ25" s="37" t="e">
        <f t="shared" ref="AJ25" ca="1" si="235">IF($O25="","",VLOOKUP($P25,INDIRECT(PTab&amp;"!$B:$EH"),AJ$5,FALSE))</f>
        <v>#REF!</v>
      </c>
      <c r="AL25" s="135" t="e">
        <f t="shared" ref="AL25" ca="1" si="236">IF($O25="","",IF(OR(PTab="P3",PTab="P7"),VLOOKUP($P25,INDIRECT(PTab&amp;"!$B:$BA"),AL$5,FALSE),VLOOKUP(EOMONTH($P25,11),INDIRECT(PTab&amp;"!$B:$BA"),AL$5,FALSE)))</f>
        <v>#REF!</v>
      </c>
      <c r="AM25" s="41" t="e">
        <f ca="1">IF($O25="","",IF(OR(PTab="P7",Ref!$S$53="Y"),VLOOKUP($P25,INDIRECT(PTab&amp;"!$B:$EH"),AM$5,FALSE),""))</f>
        <v>#REF!</v>
      </c>
      <c r="AN25" s="36" t="str">
        <f t="shared" ref="AN25:AP25" ca="1" si="237">IF($O25="","",IF(PTab="P7",VLOOKUP($P25,INDIRECT(PTab&amp;"!$B:$EH"),AN$5,FALSE),""))</f>
        <v/>
      </c>
      <c r="AO25" s="36" t="str">
        <f t="shared" ca="1" si="237"/>
        <v/>
      </c>
      <c r="AP25" s="36" t="str">
        <f t="shared" ca="1" si="237"/>
        <v/>
      </c>
      <c r="AQ25" s="36" t="str">
        <f t="shared" ref="AQ25" ca="1" si="238">IF($O25="","", IF(PTab="P7",IF($P25=$P$11,0,MAX(AP25-(VLOOKUP($P25,INDIRECT(PTab&amp;"!$B:$EH"),AQ$5,FALSE)-AU25),0)),""))</f>
        <v/>
      </c>
      <c r="AR25" s="41">
        <f t="shared" ref="AR25:AU25" ca="1" si="239">IF($O25="","",IFERROR(-VLOOKUP($P25,INDIRECT(PTab&amp;"!$B:$EH"),AR$5,FALSE),0))</f>
        <v>0</v>
      </c>
      <c r="AS25" s="36">
        <f t="shared" ca="1" si="239"/>
        <v>0</v>
      </c>
      <c r="AT25" s="36">
        <f t="shared" ca="1" si="239"/>
        <v>0</v>
      </c>
      <c r="AU25" s="37">
        <f t="shared" ca="1" si="239"/>
        <v>0</v>
      </c>
      <c r="BP25" s="94"/>
    </row>
    <row r="26" spans="2:68" x14ac:dyDescent="0.3">
      <c r="O26" s="131">
        <f t="shared" ref="O26" si="240">IFERROR(IF(AND(OR(Summary="Favorable",Summary="Unfavorable",Summary="Most Recent"),OR(($O25+1)&gt;10,$O25="")),"",IF(OR(($O25+1)&gt;Projection,$O25=""),"",$O25+1)),"")</f>
        <v>15</v>
      </c>
      <c r="P26" s="132" t="e" cm="1">
        <f t="array" aca="1" ref="P26" ca="1">IF($O26="","",OFFSET(INDIRECT(PTab&amp;"!"&amp;CELL("address",$B$11)),12*$O26,0))</f>
        <v>#REF!</v>
      </c>
      <c r="Q26" s="30" t="e">
        <f t="shared" ref="Q26" ca="1" si="241">IF($O26="","",VLOOKUP($P26,INDIRECT(PTab&amp;"!$B:$EH"),Q$5,FALSE))</f>
        <v>#REF!</v>
      </c>
      <c r="R26" s="133">
        <f ca="1">IF($O26="","",IF(MOD(O26,LEFT($R$8))=0,IFERROR(INDEX(INDIRECT(R$7&amp;VLOOKUP(Summary,Ref!$Y$13:$AC$18,3,FALSE)),MATCH($P26,INDIRECT(R$7&amp;VLOOKUP(Summary,Ref!$Y$13:$AC$18,4,FALSE)),0),MATCH(R$8,INDIRECT(R$7&amp;VLOOKUP(Summary,Ref!$Y$13:$AC$18,5,FALSE)),0)),0),0))</f>
        <v>0</v>
      </c>
      <c r="S26" s="133" t="e">
        <f t="shared" ref="S26" ca="1" si="242">IF($O26="","",VLOOKUP($P26,INDIRECT(PTab&amp;"!$B:$EH"),S$5,FALSE))</f>
        <v>#REF!</v>
      </c>
      <c r="T26" s="134" t="e" cm="1">
        <f t="array" aca="1" ref="T26" ca="1">IF($O26="","",VLOOKUP($P26,INDIRECT(PTab&amp;"!$B:$EH"),T$5,FALSE)+IF(AND(PTab="P7",$O26=5),INDEX(INDIRECT(PTab&amp;"!$B$11:$EH$563"),MATCH(6&amp;"|"&amp;1,INDIRECT(PTab&amp;"!$D$11:$D$563")&amp;"|"&amp;INDIRECT(PTab&amp;"!$C$11:$C$563"),0),MATCH("Overlay Credit",INDIRECT(PTab&amp;"!$B$10:$EH$10"),0)),IF(AND(PTab="P2",Ref!$S$53="Y"),AA26,0)))</f>
        <v>#REF!</v>
      </c>
      <c r="U26" s="36" t="e">
        <f t="shared" ref="U26:W26" ca="1" si="243">IF($O26="","",VLOOKUP($P26,INDIRECT(PTab&amp;"!$B:$EH"),U$5,FALSE))</f>
        <v>#REF!</v>
      </c>
      <c r="V26" s="36" t="e">
        <f t="shared" ca="1" si="243"/>
        <v>#REF!</v>
      </c>
      <c r="W26" s="36" t="e">
        <f t="shared" ca="1" si="243"/>
        <v>#REF!</v>
      </c>
      <c r="X26" s="135" t="e">
        <f t="shared" ref="X26" ca="1" si="244">IF(OR($O26="",RIGHT(Category,2)="NY"),"",VLOOKUP($P26,INDIRECT(PTab&amp;"!$B:$EH"),X$5,FALSE))</f>
        <v>#REF!</v>
      </c>
      <c r="Y26" s="36" t="e">
        <f t="shared" ref="Y26" ca="1" si="245">IF($O26="","",VLOOKUP($P26,INDIRECT(PTab&amp;"!$B:$EH"),Y$5,FALSE))</f>
        <v>#REF!</v>
      </c>
      <c r="Z26" s="36">
        <f t="shared" ca="1" si="21"/>
        <v>0</v>
      </c>
      <c r="AA26" s="36" t="e">
        <f t="shared" ref="AA26" ca="1" si="246">IF(OR($O26="",RIGHT(Category,2)="NY"),"",VLOOKUP($P26,INDIRECT(PTab&amp;"!$B:$EH"),AA$5,FALSE))</f>
        <v>#REF!</v>
      </c>
      <c r="AB26" s="136"/>
      <c r="AC26" s="36" t="str">
        <f>IF($O26="","",IF(EICRInd="Not Available","Not Available",IF(OR($O26&lt;2,$Q26&lt;WDAge),"Eligibility Criteria Not Met",VLOOKUP(COUNTIFS($AD$11:$AD25,"Yes"),Ref!$AL$58:$AM$63,2))))</f>
        <v>Not Available</v>
      </c>
      <c r="AD26" s="140"/>
      <c r="AE26" s="36">
        <f t="shared" ref="AE26" ca="1" si="247">IF($O26="","",IFERROR(VLOOKUP(EOMONTH($P26,11),INDIRECT(PTab&amp;"!$B:$EH"),AE$5,FALSE),0))</f>
        <v>0</v>
      </c>
      <c r="AF26" s="36"/>
      <c r="AG26" s="36">
        <f t="shared" ref="AG26" ca="1" si="248">IF($O26="","",IFERROR(-VLOOKUP(EOMONTH($P26,11),INDIRECT(PTab&amp;"!$B:$EH"),AG$5,FALSE)-IF(OR(RMDInd="Yes",SWInd="Yes"),VLOOKUP(EOMONTH($P26,11),INDIRECT(PTab&amp;"!$B:$EH"),AB$5,FALSE)+AB26*(AB26&lt;&gt;""),0),0))</f>
        <v>0</v>
      </c>
      <c r="AH26" s="36">
        <f t="shared" ref="AH26" ca="1" si="249">IF($O26="","",IF(RIGHT(Category,2)="NY",IFERROR(-VLOOKUP($P26,INDIRECT(PTab&amp;"!$B:$EH"),AH$5,FALSE),0),IFERROR(VLOOKUP($P26,INDIRECT(PTab&amp;"!$B:$EH"),AH$5,FALSE),0)))</f>
        <v>0</v>
      </c>
      <c r="AI26" s="37">
        <f t="shared" ref="AI26" ca="1" si="250">IF($O26="","",IF($O26=0,IF(RIGHT(Category,2)="NY",AH26,SUM(AB26,AG26)),IF(RIGHT(Category,2)="NY",SUM(AH26,AI25),SUM(AB26,AE26*(AD26="Yes"),AG26,AI25))))</f>
        <v>0</v>
      </c>
      <c r="AJ26" s="37" t="e">
        <f t="shared" ref="AJ26" ca="1" si="251">IF($O26="","",VLOOKUP($P26,INDIRECT(PTab&amp;"!$B:$EH"),AJ$5,FALSE))</f>
        <v>#REF!</v>
      </c>
      <c r="AL26" s="135" t="e">
        <f t="shared" ref="AL26" ca="1" si="252">IF($O26="","",IF(OR(PTab="P3",PTab="P7"),VLOOKUP($P26,INDIRECT(PTab&amp;"!$B:$BA"),AL$5,FALSE),VLOOKUP(EOMONTH($P26,11),INDIRECT(PTab&amp;"!$B:$BA"),AL$5,FALSE)))</f>
        <v>#REF!</v>
      </c>
      <c r="AM26" s="41" t="e">
        <f ca="1">IF($O26="","",IF(OR(PTab="P7",Ref!$S$53="Y"),VLOOKUP($P26,INDIRECT(PTab&amp;"!$B:$EH"),AM$5,FALSE),""))</f>
        <v>#REF!</v>
      </c>
      <c r="AN26" s="36" t="str">
        <f t="shared" ref="AN26:AP26" ca="1" si="253">IF($O26="","",IF(PTab="P7",VLOOKUP($P26,INDIRECT(PTab&amp;"!$B:$EH"),AN$5,FALSE),""))</f>
        <v/>
      </c>
      <c r="AO26" s="36" t="str">
        <f t="shared" ca="1" si="253"/>
        <v/>
      </c>
      <c r="AP26" s="36" t="str">
        <f t="shared" ca="1" si="253"/>
        <v/>
      </c>
      <c r="AQ26" s="36" t="str">
        <f t="shared" ref="AQ26" ca="1" si="254">IF($O26="","", IF(PTab="P7",IF($P26=$P$11,0,MAX(AP26-(VLOOKUP($P26,INDIRECT(PTab&amp;"!$B:$EH"),AQ$5,FALSE)-AU26),0)),""))</f>
        <v/>
      </c>
      <c r="AR26" s="41">
        <f t="shared" ref="AR26:AU26" ca="1" si="255">IF($O26="","",IFERROR(-VLOOKUP($P26,INDIRECT(PTab&amp;"!$B:$EH"),AR$5,FALSE),0))</f>
        <v>0</v>
      </c>
      <c r="AS26" s="36">
        <f t="shared" ca="1" si="255"/>
        <v>0</v>
      </c>
      <c r="AT26" s="36">
        <f t="shared" ca="1" si="255"/>
        <v>0</v>
      </c>
      <c r="AU26" s="37">
        <f t="shared" ca="1" si="255"/>
        <v>0</v>
      </c>
      <c r="BP26" s="94"/>
    </row>
    <row r="27" spans="2:68" x14ac:dyDescent="0.3">
      <c r="B27" s="581" t="str">
        <f>IF(Projection&gt;45,"  !!! This tool can accommodate Projections up to 45 years only !!! Please adjust either Issue Ages or Latest Annuity Age  ","")</f>
        <v/>
      </c>
      <c r="C27" s="582"/>
      <c r="O27" s="131">
        <f t="shared" ref="O27" si="256">IFERROR(IF(AND(OR(Summary="Favorable",Summary="Unfavorable",Summary="Most Recent"),OR(($O26+1)&gt;10,$O26="")),"",IF(OR(($O26+1)&gt;Projection,$O26=""),"",$O26+1)),"")</f>
        <v>16</v>
      </c>
      <c r="P27" s="132" t="e" cm="1">
        <f t="array" aca="1" ref="P27" ca="1">IF($O27="","",OFFSET(INDIRECT(PTab&amp;"!"&amp;CELL("address",$B$11)),12*$O27,0))</f>
        <v>#REF!</v>
      </c>
      <c r="Q27" s="30" t="e">
        <f t="shared" ref="Q27" ca="1" si="257">IF($O27="","",VLOOKUP($P27,INDIRECT(PTab&amp;"!$B:$EH"),Q$5,FALSE))</f>
        <v>#REF!</v>
      </c>
      <c r="R27" s="133">
        <f ca="1">IF($O27="","",IF(MOD(O27,LEFT($R$8))=0,IFERROR(INDEX(INDIRECT(R$7&amp;VLOOKUP(Summary,Ref!$Y$13:$AC$18,3,FALSE)),MATCH($P27,INDIRECT(R$7&amp;VLOOKUP(Summary,Ref!$Y$13:$AC$18,4,FALSE)),0),MATCH(R$8,INDIRECT(R$7&amp;VLOOKUP(Summary,Ref!$Y$13:$AC$18,5,FALSE)),0)),0),0))</f>
        <v>0</v>
      </c>
      <c r="S27" s="133" t="e">
        <f t="shared" ref="S27" ca="1" si="258">IF($O27="","",VLOOKUP($P27,INDIRECT(PTab&amp;"!$B:$EH"),S$5,FALSE))</f>
        <v>#REF!</v>
      </c>
      <c r="T27" s="134" t="e" cm="1">
        <f t="array" aca="1" ref="T27" ca="1">IF($O27="","",VLOOKUP($P27,INDIRECT(PTab&amp;"!$B:$EH"),T$5,FALSE)+IF(AND(PTab="P7",$O27=5),INDEX(INDIRECT(PTab&amp;"!$B$11:$EH$563"),MATCH(6&amp;"|"&amp;1,INDIRECT(PTab&amp;"!$D$11:$D$563")&amp;"|"&amp;INDIRECT(PTab&amp;"!$C$11:$C$563"),0),MATCH("Overlay Credit",INDIRECT(PTab&amp;"!$B$10:$EH$10"),0)),IF(AND(PTab="P2",Ref!$S$53="Y"),AA27,0)))</f>
        <v>#REF!</v>
      </c>
      <c r="U27" s="36" t="e">
        <f t="shared" ref="U27:W27" ca="1" si="259">IF($O27="","",VLOOKUP($P27,INDIRECT(PTab&amp;"!$B:$EH"),U$5,FALSE))</f>
        <v>#REF!</v>
      </c>
      <c r="V27" s="36" t="e">
        <f t="shared" ca="1" si="259"/>
        <v>#REF!</v>
      </c>
      <c r="W27" s="36" t="e">
        <f t="shared" ca="1" si="259"/>
        <v>#REF!</v>
      </c>
      <c r="X27" s="135" t="e">
        <f t="shared" ref="X27" ca="1" si="260">IF(OR($O27="",RIGHT(Category,2)="NY"),"",VLOOKUP($P27,INDIRECT(PTab&amp;"!$B:$EH"),X$5,FALSE))</f>
        <v>#REF!</v>
      </c>
      <c r="Y27" s="36" t="e">
        <f t="shared" ref="Y27" ca="1" si="261">IF($O27="","",VLOOKUP($P27,INDIRECT(PTab&amp;"!$B:$EH"),Y$5,FALSE))</f>
        <v>#REF!</v>
      </c>
      <c r="Z27" s="36">
        <f t="shared" ca="1" si="21"/>
        <v>0</v>
      </c>
      <c r="AA27" s="36" t="e">
        <f t="shared" ref="AA27" ca="1" si="262">IF(OR($O27="",RIGHT(Category,2)="NY"),"",VLOOKUP($P27,INDIRECT(PTab&amp;"!$B:$EH"),AA$5,FALSE))</f>
        <v>#REF!</v>
      </c>
      <c r="AB27" s="136"/>
      <c r="AC27" s="36" t="str">
        <f>IF($O27="","",IF(EICRInd="Not Available","Not Available",IF(OR($O27&lt;2,$Q27&lt;WDAge),"Eligibility Criteria Not Met",VLOOKUP(COUNTIFS($AD$11:$AD26,"Yes"),Ref!$AL$58:$AM$63,2))))</f>
        <v>Not Available</v>
      </c>
      <c r="AD27" s="140"/>
      <c r="AE27" s="36">
        <f t="shared" ref="AE27" ca="1" si="263">IF($O27="","",IFERROR(VLOOKUP(EOMONTH($P27,11),INDIRECT(PTab&amp;"!$B:$EH"),AE$5,FALSE),0))</f>
        <v>0</v>
      </c>
      <c r="AF27" s="36"/>
      <c r="AG27" s="36">
        <f t="shared" ref="AG27" ca="1" si="264">IF($O27="","",IFERROR(-VLOOKUP(EOMONTH($P27,11),INDIRECT(PTab&amp;"!$B:$EH"),AG$5,FALSE)-IF(OR(RMDInd="Yes",SWInd="Yes"),VLOOKUP(EOMONTH($P27,11),INDIRECT(PTab&amp;"!$B:$EH"),AB$5,FALSE)+AB27*(AB27&lt;&gt;""),0),0))</f>
        <v>0</v>
      </c>
      <c r="AH27" s="36">
        <f t="shared" ref="AH27" ca="1" si="265">IF($O27="","",IF(RIGHT(Category,2)="NY",IFERROR(-VLOOKUP($P27,INDIRECT(PTab&amp;"!$B:$EH"),AH$5,FALSE),0),IFERROR(VLOOKUP($P27,INDIRECT(PTab&amp;"!$B:$EH"),AH$5,FALSE),0)))</f>
        <v>0</v>
      </c>
      <c r="AI27" s="37">
        <f t="shared" ref="AI27" ca="1" si="266">IF($O27="","",IF($O27=0,IF(RIGHT(Category,2)="NY",AH27,SUM(AB27,AG27)),IF(RIGHT(Category,2)="NY",SUM(AH27,AI26),SUM(AB27,AE27*(AD27="Yes"),AG27,AI26))))</f>
        <v>0</v>
      </c>
      <c r="AJ27" s="37" t="e">
        <f t="shared" ref="AJ27" ca="1" si="267">IF($O27="","",VLOOKUP($P27,INDIRECT(PTab&amp;"!$B:$EH"),AJ$5,FALSE))</f>
        <v>#REF!</v>
      </c>
      <c r="AL27" s="135" t="e">
        <f t="shared" ref="AL27" ca="1" si="268">IF($O27="","",IF(OR(PTab="P3",PTab="P7"),VLOOKUP($P27,INDIRECT(PTab&amp;"!$B:$BA"),AL$5,FALSE),VLOOKUP(EOMONTH($P27,11),INDIRECT(PTab&amp;"!$B:$BA"),AL$5,FALSE)))</f>
        <v>#REF!</v>
      </c>
      <c r="AM27" s="41" t="e">
        <f ca="1">IF($O27="","",IF(OR(PTab="P7",Ref!$S$53="Y"),VLOOKUP($P27,INDIRECT(PTab&amp;"!$B:$EH"),AM$5,FALSE),""))</f>
        <v>#REF!</v>
      </c>
      <c r="AN27" s="36" t="str">
        <f t="shared" ref="AN27:AP27" ca="1" si="269">IF($O27="","",IF(PTab="P7",VLOOKUP($P27,INDIRECT(PTab&amp;"!$B:$EH"),AN$5,FALSE),""))</f>
        <v/>
      </c>
      <c r="AO27" s="36" t="str">
        <f t="shared" ca="1" si="269"/>
        <v/>
      </c>
      <c r="AP27" s="36" t="str">
        <f t="shared" ca="1" si="269"/>
        <v/>
      </c>
      <c r="AQ27" s="36" t="str">
        <f t="shared" ref="AQ27" ca="1" si="270">IF($O27="","", IF(PTab="P7",IF($P27=$P$11,0,MAX(AP27-(VLOOKUP($P27,INDIRECT(PTab&amp;"!$B:$EH"),AQ$5,FALSE)-AU27),0)),""))</f>
        <v/>
      </c>
      <c r="AR27" s="41">
        <f t="shared" ref="AR27:AU27" ca="1" si="271">IF($O27="","",IFERROR(-VLOOKUP($P27,INDIRECT(PTab&amp;"!$B:$EH"),AR$5,FALSE),0))</f>
        <v>0</v>
      </c>
      <c r="AS27" s="36">
        <f t="shared" ca="1" si="271"/>
        <v>0</v>
      </c>
      <c r="AT27" s="36">
        <f t="shared" ca="1" si="271"/>
        <v>0</v>
      </c>
      <c r="AU27" s="37">
        <f t="shared" ca="1" si="271"/>
        <v>0</v>
      </c>
      <c r="BP27" s="94"/>
    </row>
    <row r="28" spans="2:68" x14ac:dyDescent="0.3">
      <c r="B28" s="581" t="str">
        <f>IF(AND(OR(Summary="Favorable",Summary="Unfavorable"),Focus&lt;20),"  !!! Performance Focus Period should be at least 20 years for meaningful results !!! Please adjust either Issue Ages or Latest Annuity Age ","")</f>
        <v/>
      </c>
      <c r="C28" s="582"/>
      <c r="O28" s="131">
        <f t="shared" ref="O28" si="272">IFERROR(IF(AND(OR(Summary="Favorable",Summary="Unfavorable",Summary="Most Recent"),OR(($O27+1)&gt;10,$O27="")),"",IF(OR(($O27+1)&gt;Projection,$O27=""),"",$O27+1)),"")</f>
        <v>17</v>
      </c>
      <c r="P28" s="132" t="e" cm="1">
        <f t="array" aca="1" ref="P28" ca="1">IF($O28="","",OFFSET(INDIRECT(PTab&amp;"!"&amp;CELL("address",$B$11)),12*$O28,0))</f>
        <v>#REF!</v>
      </c>
      <c r="Q28" s="30" t="e">
        <f t="shared" ref="Q28" ca="1" si="273">IF($O28="","",VLOOKUP($P28,INDIRECT(PTab&amp;"!$B:$EH"),Q$5,FALSE))</f>
        <v>#REF!</v>
      </c>
      <c r="R28" s="133">
        <f ca="1">IF($O28="","",IF(MOD(O28,LEFT($R$8))=0,IFERROR(INDEX(INDIRECT(R$7&amp;VLOOKUP(Summary,Ref!$Y$13:$AC$18,3,FALSE)),MATCH($P28,INDIRECT(R$7&amp;VLOOKUP(Summary,Ref!$Y$13:$AC$18,4,FALSE)),0),MATCH(R$8,INDIRECT(R$7&amp;VLOOKUP(Summary,Ref!$Y$13:$AC$18,5,FALSE)),0)),0),0))</f>
        <v>0</v>
      </c>
      <c r="S28" s="133" t="e">
        <f t="shared" ref="S28" ca="1" si="274">IF($O28="","",VLOOKUP($P28,INDIRECT(PTab&amp;"!$B:$EH"),S$5,FALSE))</f>
        <v>#REF!</v>
      </c>
      <c r="T28" s="134" t="e" cm="1">
        <f t="array" aca="1" ref="T28" ca="1">IF($O28="","",VLOOKUP($P28,INDIRECT(PTab&amp;"!$B:$EH"),T$5,FALSE)+IF(AND(PTab="P7",$O28=5),INDEX(INDIRECT(PTab&amp;"!$B$11:$EH$563"),MATCH(6&amp;"|"&amp;1,INDIRECT(PTab&amp;"!$D$11:$D$563")&amp;"|"&amp;INDIRECT(PTab&amp;"!$C$11:$C$563"),0),MATCH("Overlay Credit",INDIRECT(PTab&amp;"!$B$10:$EH$10"),0)),IF(AND(PTab="P2",Ref!$S$53="Y"),AA28,0)))</f>
        <v>#REF!</v>
      </c>
      <c r="U28" s="36" t="e">
        <f t="shared" ref="U28:W28" ca="1" si="275">IF($O28="","",VLOOKUP($P28,INDIRECT(PTab&amp;"!$B:$EH"),U$5,FALSE))</f>
        <v>#REF!</v>
      </c>
      <c r="V28" s="36" t="e">
        <f t="shared" ca="1" si="275"/>
        <v>#REF!</v>
      </c>
      <c r="W28" s="36" t="e">
        <f t="shared" ca="1" si="275"/>
        <v>#REF!</v>
      </c>
      <c r="X28" s="135" t="e">
        <f t="shared" ref="X28" ca="1" si="276">IF(OR($O28="",RIGHT(Category,2)="NY"),"",VLOOKUP($P28,INDIRECT(PTab&amp;"!$B:$EH"),X$5,FALSE))</f>
        <v>#REF!</v>
      </c>
      <c r="Y28" s="36" t="e">
        <f t="shared" ref="Y28" ca="1" si="277">IF($O28="","",VLOOKUP($P28,INDIRECT(PTab&amp;"!$B:$EH"),Y$5,FALSE))</f>
        <v>#REF!</v>
      </c>
      <c r="Z28" s="36">
        <f t="shared" ca="1" si="21"/>
        <v>0</v>
      </c>
      <c r="AA28" s="36" t="e">
        <f t="shared" ref="AA28" ca="1" si="278">IF(OR($O28="",RIGHT(Category,2)="NY"),"",VLOOKUP($P28,INDIRECT(PTab&amp;"!$B:$EH"),AA$5,FALSE))</f>
        <v>#REF!</v>
      </c>
      <c r="AB28" s="136"/>
      <c r="AC28" s="36" t="str">
        <f>IF($O28="","",IF(EICRInd="Not Available","Not Available",IF(OR($O28&lt;2,$Q28&lt;WDAge),"Eligibility Criteria Not Met",VLOOKUP(COUNTIFS($AD$11:$AD27,"Yes"),Ref!$AL$58:$AM$63,2))))</f>
        <v>Not Available</v>
      </c>
      <c r="AD28" s="140"/>
      <c r="AE28" s="36">
        <f t="shared" ref="AE28" ca="1" si="279">IF($O28="","",IFERROR(VLOOKUP(EOMONTH($P28,11),INDIRECT(PTab&amp;"!$B:$EH"),AE$5,FALSE),0))</f>
        <v>0</v>
      </c>
      <c r="AF28" s="36"/>
      <c r="AG28" s="36">
        <f t="shared" ref="AG28" ca="1" si="280">IF($O28="","",IFERROR(-VLOOKUP(EOMONTH($P28,11),INDIRECT(PTab&amp;"!$B:$EH"),AG$5,FALSE)-IF(OR(RMDInd="Yes",SWInd="Yes"),VLOOKUP(EOMONTH($P28,11),INDIRECT(PTab&amp;"!$B:$EH"),AB$5,FALSE)+AB28*(AB28&lt;&gt;""),0),0))</f>
        <v>0</v>
      </c>
      <c r="AH28" s="36">
        <f t="shared" ref="AH28" ca="1" si="281">IF($O28="","",IF(RIGHT(Category,2)="NY",IFERROR(-VLOOKUP($P28,INDIRECT(PTab&amp;"!$B:$EH"),AH$5,FALSE),0),IFERROR(VLOOKUP($P28,INDIRECT(PTab&amp;"!$B:$EH"),AH$5,FALSE),0)))</f>
        <v>0</v>
      </c>
      <c r="AI28" s="37">
        <f t="shared" ref="AI28" ca="1" si="282">IF($O28="","",IF($O28=0,IF(RIGHT(Category,2)="NY",AH28,SUM(AB28,AG28)),IF(RIGHT(Category,2)="NY",SUM(AH28,AI27),SUM(AB28,AE28*(AD28="Yes"),AG28,AI27))))</f>
        <v>0</v>
      </c>
      <c r="AJ28" s="37" t="e">
        <f t="shared" ref="AJ28" ca="1" si="283">IF($O28="","",VLOOKUP($P28,INDIRECT(PTab&amp;"!$B:$EH"),AJ$5,FALSE))</f>
        <v>#REF!</v>
      </c>
      <c r="AL28" s="135" t="e">
        <f t="shared" ref="AL28" ca="1" si="284">IF($O28="","",IF(OR(PTab="P3",PTab="P7"),VLOOKUP($P28,INDIRECT(PTab&amp;"!$B:$BA"),AL$5,FALSE),VLOOKUP(EOMONTH($P28,11),INDIRECT(PTab&amp;"!$B:$BA"),AL$5,FALSE)))</f>
        <v>#REF!</v>
      </c>
      <c r="AM28" s="41" t="e">
        <f ca="1">IF($O28="","",IF(OR(PTab="P7",Ref!$S$53="Y"),VLOOKUP($P28,INDIRECT(PTab&amp;"!$B:$EH"),AM$5,FALSE),""))</f>
        <v>#REF!</v>
      </c>
      <c r="AN28" s="36" t="str">
        <f t="shared" ref="AN28:AP28" ca="1" si="285">IF($O28="","",IF(PTab="P7",VLOOKUP($P28,INDIRECT(PTab&amp;"!$B:$EH"),AN$5,FALSE),""))</f>
        <v/>
      </c>
      <c r="AO28" s="36" t="str">
        <f t="shared" ca="1" si="285"/>
        <v/>
      </c>
      <c r="AP28" s="36" t="str">
        <f t="shared" ca="1" si="285"/>
        <v/>
      </c>
      <c r="AQ28" s="36" t="str">
        <f t="shared" ref="AQ28" ca="1" si="286">IF($O28="","", IF(PTab="P7",IF($P28=$P$11,0,MAX(AP28-(VLOOKUP($P28,INDIRECT(PTab&amp;"!$B:$EH"),AQ$5,FALSE)-AU28),0)),""))</f>
        <v/>
      </c>
      <c r="AR28" s="41">
        <f t="shared" ref="AR28:AU28" ca="1" si="287">IF($O28="","",IFERROR(-VLOOKUP($P28,INDIRECT(PTab&amp;"!$B:$EH"),AR$5,FALSE),0))</f>
        <v>0</v>
      </c>
      <c r="AS28" s="36">
        <f t="shared" ca="1" si="287"/>
        <v>0</v>
      </c>
      <c r="AT28" s="36">
        <f t="shared" ca="1" si="287"/>
        <v>0</v>
      </c>
      <c r="AU28" s="37">
        <f t="shared" ca="1" si="287"/>
        <v>0</v>
      </c>
      <c r="BP28" s="94"/>
    </row>
    <row r="29" spans="2:68" x14ac:dyDescent="0.3">
      <c r="O29" s="131">
        <f t="shared" ref="O29" si="288">IFERROR(IF(AND(OR(Summary="Favorable",Summary="Unfavorable",Summary="Most Recent"),OR(($O28+1)&gt;10,$O28="")),"",IF(OR(($O28+1)&gt;Projection,$O28=""),"",$O28+1)),"")</f>
        <v>18</v>
      </c>
      <c r="P29" s="132" t="e" cm="1">
        <f t="array" aca="1" ref="P29" ca="1">IF($O29="","",OFFSET(INDIRECT(PTab&amp;"!"&amp;CELL("address",$B$11)),12*$O29,0))</f>
        <v>#REF!</v>
      </c>
      <c r="Q29" s="30" t="e">
        <f t="shared" ref="Q29" ca="1" si="289">IF($O29="","",VLOOKUP($P29,INDIRECT(PTab&amp;"!$B:$EH"),Q$5,FALSE))</f>
        <v>#REF!</v>
      </c>
      <c r="R29" s="133">
        <f ca="1">IF($O29="","",IF(MOD(O29,LEFT($R$8))=0,IFERROR(INDEX(INDIRECT(R$7&amp;VLOOKUP(Summary,Ref!$Y$13:$AC$18,3,FALSE)),MATCH($P29,INDIRECT(R$7&amp;VLOOKUP(Summary,Ref!$Y$13:$AC$18,4,FALSE)),0),MATCH(R$8,INDIRECT(R$7&amp;VLOOKUP(Summary,Ref!$Y$13:$AC$18,5,FALSE)),0)),0),0))</f>
        <v>0</v>
      </c>
      <c r="S29" s="133" t="e">
        <f t="shared" ref="S29" ca="1" si="290">IF($O29="","",VLOOKUP($P29,INDIRECT(PTab&amp;"!$B:$EH"),S$5,FALSE))</f>
        <v>#REF!</v>
      </c>
      <c r="T29" s="134" t="e" cm="1">
        <f t="array" aca="1" ref="T29" ca="1">IF($O29="","",VLOOKUP($P29,INDIRECT(PTab&amp;"!$B:$EH"),T$5,FALSE)+IF(AND(PTab="P7",$O29=5),INDEX(INDIRECT(PTab&amp;"!$B$11:$EH$563"),MATCH(6&amp;"|"&amp;1,INDIRECT(PTab&amp;"!$D$11:$D$563")&amp;"|"&amp;INDIRECT(PTab&amp;"!$C$11:$C$563"),0),MATCH("Overlay Credit",INDIRECT(PTab&amp;"!$B$10:$EH$10"),0)),IF(AND(PTab="P2",Ref!$S$53="Y"),AA29,0)))</f>
        <v>#REF!</v>
      </c>
      <c r="U29" s="36" t="e">
        <f t="shared" ref="U29:W29" ca="1" si="291">IF($O29="","",VLOOKUP($P29,INDIRECT(PTab&amp;"!$B:$EH"),U$5,FALSE))</f>
        <v>#REF!</v>
      </c>
      <c r="V29" s="36" t="e">
        <f t="shared" ca="1" si="291"/>
        <v>#REF!</v>
      </c>
      <c r="W29" s="36" t="e">
        <f t="shared" ca="1" si="291"/>
        <v>#REF!</v>
      </c>
      <c r="X29" s="135" t="e">
        <f t="shared" ref="X29" ca="1" si="292">IF(OR($O29="",RIGHT(Category,2)="NY"),"",VLOOKUP($P29,INDIRECT(PTab&amp;"!$B:$EH"),X$5,FALSE))</f>
        <v>#REF!</v>
      </c>
      <c r="Y29" s="36" t="e">
        <f t="shared" ref="Y29" ca="1" si="293">IF($O29="","",VLOOKUP($P29,INDIRECT(PTab&amp;"!$B:$EH"),Y$5,FALSE))</f>
        <v>#REF!</v>
      </c>
      <c r="Z29" s="36">
        <f t="shared" ca="1" si="21"/>
        <v>0</v>
      </c>
      <c r="AA29" s="36" t="e">
        <f t="shared" ref="AA29" ca="1" si="294">IF(OR($O29="",RIGHT(Category,2)="NY"),"",VLOOKUP($P29,INDIRECT(PTab&amp;"!$B:$EH"),AA$5,FALSE))</f>
        <v>#REF!</v>
      </c>
      <c r="AB29" s="136"/>
      <c r="AC29" s="36" t="str">
        <f>IF($O29="","",IF(EICRInd="Not Available","Not Available",IF(OR($O29&lt;2,$Q29&lt;WDAge),"Eligibility Criteria Not Met",VLOOKUP(COUNTIFS($AD$11:$AD28,"Yes"),Ref!$AL$58:$AM$63,2))))</f>
        <v>Not Available</v>
      </c>
      <c r="AD29" s="140"/>
      <c r="AE29" s="36">
        <f t="shared" ref="AE29" ca="1" si="295">IF($O29="","",IFERROR(VLOOKUP(EOMONTH($P29,11),INDIRECT(PTab&amp;"!$B:$EH"),AE$5,FALSE),0))</f>
        <v>0</v>
      </c>
      <c r="AF29" s="36"/>
      <c r="AG29" s="36">
        <f t="shared" ref="AG29" ca="1" si="296">IF($O29="","",IFERROR(-VLOOKUP(EOMONTH($P29,11),INDIRECT(PTab&amp;"!$B:$EH"),AG$5,FALSE)-IF(OR(RMDInd="Yes",SWInd="Yes"),VLOOKUP(EOMONTH($P29,11),INDIRECT(PTab&amp;"!$B:$EH"),AB$5,FALSE)+AB29*(AB29&lt;&gt;""),0),0))</f>
        <v>0</v>
      </c>
      <c r="AH29" s="36">
        <f t="shared" ref="AH29" ca="1" si="297">IF($O29="","",IF(RIGHT(Category,2)="NY",IFERROR(-VLOOKUP($P29,INDIRECT(PTab&amp;"!$B:$EH"),AH$5,FALSE),0),IFERROR(VLOOKUP($P29,INDIRECT(PTab&amp;"!$B:$EH"),AH$5,FALSE),0)))</f>
        <v>0</v>
      </c>
      <c r="AI29" s="37">
        <f t="shared" ref="AI29" ca="1" si="298">IF($O29="","",IF($O29=0,IF(RIGHT(Category,2)="NY",AH29,SUM(AB29,AG29)),IF(RIGHT(Category,2)="NY",SUM(AH29,AI28),SUM(AB29,AE29*(AD29="Yes"),AG29,AI28))))</f>
        <v>0</v>
      </c>
      <c r="AJ29" s="37" t="e">
        <f t="shared" ref="AJ29" ca="1" si="299">IF($O29="","",VLOOKUP($P29,INDIRECT(PTab&amp;"!$B:$EH"),AJ$5,FALSE))</f>
        <v>#REF!</v>
      </c>
      <c r="AL29" s="135" t="e">
        <f t="shared" ref="AL29" ca="1" si="300">IF($O29="","",IF(OR(PTab="P3",PTab="P7"),VLOOKUP($P29,INDIRECT(PTab&amp;"!$B:$BA"),AL$5,FALSE),VLOOKUP(EOMONTH($P29,11),INDIRECT(PTab&amp;"!$B:$BA"),AL$5,FALSE)))</f>
        <v>#REF!</v>
      </c>
      <c r="AM29" s="41" t="e">
        <f ca="1">IF($O29="","",IF(OR(PTab="P7",Ref!$S$53="Y"),VLOOKUP($P29,INDIRECT(PTab&amp;"!$B:$EH"),AM$5,FALSE),""))</f>
        <v>#REF!</v>
      </c>
      <c r="AN29" s="36" t="str">
        <f t="shared" ref="AN29:AP29" ca="1" si="301">IF($O29="","",IF(PTab="P7",VLOOKUP($P29,INDIRECT(PTab&amp;"!$B:$EH"),AN$5,FALSE),""))</f>
        <v/>
      </c>
      <c r="AO29" s="36" t="str">
        <f t="shared" ca="1" si="301"/>
        <v/>
      </c>
      <c r="AP29" s="36" t="str">
        <f t="shared" ca="1" si="301"/>
        <v/>
      </c>
      <c r="AQ29" s="36" t="str">
        <f t="shared" ref="AQ29" ca="1" si="302">IF($O29="","", IF(PTab="P7",IF($P29=$P$11,0,MAX(AP29-(VLOOKUP($P29,INDIRECT(PTab&amp;"!$B:$EH"),AQ$5,FALSE)-AU29),0)),""))</f>
        <v/>
      </c>
      <c r="AR29" s="41">
        <f t="shared" ref="AR29:AU29" ca="1" si="303">IF($O29="","",IFERROR(-VLOOKUP($P29,INDIRECT(PTab&amp;"!$B:$EH"),AR$5,FALSE),0))</f>
        <v>0</v>
      </c>
      <c r="AS29" s="36">
        <f t="shared" ca="1" si="303"/>
        <v>0</v>
      </c>
      <c r="AT29" s="36">
        <f t="shared" ca="1" si="303"/>
        <v>0</v>
      </c>
      <c r="AU29" s="37">
        <f t="shared" ca="1" si="303"/>
        <v>0</v>
      </c>
      <c r="BP29" s="94"/>
    </row>
    <row r="30" spans="2:68" ht="15.6" x14ac:dyDescent="0.3">
      <c r="B30" s="590" t="s">
        <v>89</v>
      </c>
      <c r="C30" s="591"/>
      <c r="O30" s="131">
        <f t="shared" ref="O30" si="304">IFERROR(IF(AND(OR(Summary="Favorable",Summary="Unfavorable",Summary="Most Recent"),OR(($O29+1)&gt;10,$O29="")),"",IF(OR(($O29+1)&gt;Projection,$O29=""),"",$O29+1)),"")</f>
        <v>19</v>
      </c>
      <c r="P30" s="132" t="e" cm="1">
        <f t="array" aca="1" ref="P30" ca="1">IF($O30="","",OFFSET(INDIRECT(PTab&amp;"!"&amp;CELL("address",$B$11)),12*$O30,0))</f>
        <v>#REF!</v>
      </c>
      <c r="Q30" s="30" t="e">
        <f t="shared" ref="Q30" ca="1" si="305">IF($O30="","",VLOOKUP($P30,INDIRECT(PTab&amp;"!$B:$EH"),Q$5,FALSE))</f>
        <v>#REF!</v>
      </c>
      <c r="R30" s="133">
        <f ca="1">IF($O30="","",IF(MOD(O30,LEFT($R$8))=0,IFERROR(INDEX(INDIRECT(R$7&amp;VLOOKUP(Summary,Ref!$Y$13:$AC$18,3,FALSE)),MATCH($P30,INDIRECT(R$7&amp;VLOOKUP(Summary,Ref!$Y$13:$AC$18,4,FALSE)),0),MATCH(R$8,INDIRECT(R$7&amp;VLOOKUP(Summary,Ref!$Y$13:$AC$18,5,FALSE)),0)),0),0))</f>
        <v>0</v>
      </c>
      <c r="S30" s="133" t="e">
        <f t="shared" ref="S30" ca="1" si="306">IF($O30="","",VLOOKUP($P30,INDIRECT(PTab&amp;"!$B:$EH"),S$5,FALSE))</f>
        <v>#REF!</v>
      </c>
      <c r="T30" s="134" t="e" cm="1">
        <f t="array" aca="1" ref="T30" ca="1">IF($O30="","",VLOOKUP($P30,INDIRECT(PTab&amp;"!$B:$EH"),T$5,FALSE)+IF(AND(PTab="P7",$O30=5),INDEX(INDIRECT(PTab&amp;"!$B$11:$EH$563"),MATCH(6&amp;"|"&amp;1,INDIRECT(PTab&amp;"!$D$11:$D$563")&amp;"|"&amp;INDIRECT(PTab&amp;"!$C$11:$C$563"),0),MATCH("Overlay Credit",INDIRECT(PTab&amp;"!$B$10:$EH$10"),0)),IF(AND(PTab="P2",Ref!$S$53="Y"),AA30,0)))</f>
        <v>#REF!</v>
      </c>
      <c r="U30" s="36" t="e">
        <f t="shared" ref="U30:W30" ca="1" si="307">IF($O30="","",VLOOKUP($P30,INDIRECT(PTab&amp;"!$B:$EH"),U$5,FALSE))</f>
        <v>#REF!</v>
      </c>
      <c r="V30" s="36" t="e">
        <f t="shared" ca="1" si="307"/>
        <v>#REF!</v>
      </c>
      <c r="W30" s="36" t="e">
        <f t="shared" ca="1" si="307"/>
        <v>#REF!</v>
      </c>
      <c r="X30" s="135" t="e">
        <f t="shared" ref="X30" ca="1" si="308">IF(OR($O30="",RIGHT(Category,2)="NY"),"",VLOOKUP($P30,INDIRECT(PTab&amp;"!$B:$EH"),X$5,FALSE))</f>
        <v>#REF!</v>
      </c>
      <c r="Y30" s="36" t="e">
        <f t="shared" ref="Y30" ca="1" si="309">IF($O30="","",VLOOKUP($P30,INDIRECT(PTab&amp;"!$B:$EH"),Y$5,FALSE))</f>
        <v>#REF!</v>
      </c>
      <c r="Z30" s="36">
        <f t="shared" ca="1" si="21"/>
        <v>0</v>
      </c>
      <c r="AA30" s="36" t="e">
        <f t="shared" ref="AA30" ca="1" si="310">IF(OR($O30="",RIGHT(Category,2)="NY"),"",VLOOKUP($P30,INDIRECT(PTab&amp;"!$B:$EH"),AA$5,FALSE))</f>
        <v>#REF!</v>
      </c>
      <c r="AB30" s="136"/>
      <c r="AC30" s="36" t="str">
        <f>IF($O30="","",IF(EICRInd="Not Available","Not Available",IF(OR($O30&lt;2,$Q30&lt;WDAge),"Eligibility Criteria Not Met",VLOOKUP(COUNTIFS($AD$11:$AD29,"Yes"),Ref!$AL$58:$AM$63,2))))</f>
        <v>Not Available</v>
      </c>
      <c r="AD30" s="140"/>
      <c r="AE30" s="36">
        <f t="shared" ref="AE30" ca="1" si="311">IF($O30="","",IFERROR(VLOOKUP(EOMONTH($P30,11),INDIRECT(PTab&amp;"!$B:$EH"),AE$5,FALSE),0))</f>
        <v>0</v>
      </c>
      <c r="AF30" s="36"/>
      <c r="AG30" s="36">
        <f t="shared" ref="AG30" ca="1" si="312">IF($O30="","",IFERROR(-VLOOKUP(EOMONTH($P30,11),INDIRECT(PTab&amp;"!$B:$EH"),AG$5,FALSE)-IF(OR(RMDInd="Yes",SWInd="Yes"),VLOOKUP(EOMONTH($P30,11),INDIRECT(PTab&amp;"!$B:$EH"),AB$5,FALSE)+AB30*(AB30&lt;&gt;""),0),0))</f>
        <v>0</v>
      </c>
      <c r="AH30" s="36">
        <f t="shared" ref="AH30" ca="1" si="313">IF($O30="","",IF(RIGHT(Category,2)="NY",IFERROR(-VLOOKUP($P30,INDIRECT(PTab&amp;"!$B:$EH"),AH$5,FALSE),0),IFERROR(VLOOKUP($P30,INDIRECT(PTab&amp;"!$B:$EH"),AH$5,FALSE),0)))</f>
        <v>0</v>
      </c>
      <c r="AI30" s="37">
        <f t="shared" ref="AI30" ca="1" si="314">IF($O30="","",IF($O30=0,IF(RIGHT(Category,2)="NY",AH30,SUM(AB30,AG30)),IF(RIGHT(Category,2)="NY",SUM(AH30,AI29),SUM(AB30,AE30*(AD30="Yes"),AG30,AI29))))</f>
        <v>0</v>
      </c>
      <c r="AJ30" s="37" t="e">
        <f t="shared" ref="AJ30" ca="1" si="315">IF($O30="","",VLOOKUP($P30,INDIRECT(PTab&amp;"!$B:$EH"),AJ$5,FALSE))</f>
        <v>#REF!</v>
      </c>
      <c r="AL30" s="135" t="e">
        <f t="shared" ref="AL30" ca="1" si="316">IF($O30="","",IF(OR(PTab="P3",PTab="P7"),VLOOKUP($P30,INDIRECT(PTab&amp;"!$B:$BA"),AL$5,FALSE),VLOOKUP(EOMONTH($P30,11),INDIRECT(PTab&amp;"!$B:$BA"),AL$5,FALSE)))</f>
        <v>#REF!</v>
      </c>
      <c r="AM30" s="41" t="e">
        <f ca="1">IF($O30="","",IF(OR(PTab="P7",Ref!$S$53="Y"),VLOOKUP($P30,INDIRECT(PTab&amp;"!$B:$EH"),AM$5,FALSE),""))</f>
        <v>#REF!</v>
      </c>
      <c r="AN30" s="36" t="str">
        <f t="shared" ref="AN30:AP30" ca="1" si="317">IF($O30="","",IF(PTab="P7",VLOOKUP($P30,INDIRECT(PTab&amp;"!$B:$EH"),AN$5,FALSE),""))</f>
        <v/>
      </c>
      <c r="AO30" s="36" t="str">
        <f t="shared" ca="1" si="317"/>
        <v/>
      </c>
      <c r="AP30" s="36" t="str">
        <f t="shared" ca="1" si="317"/>
        <v/>
      </c>
      <c r="AQ30" s="36" t="str">
        <f t="shared" ref="AQ30" ca="1" si="318">IF($O30="","", IF(PTab="P7",IF($P30=$P$11,0,MAX(AP30-(VLOOKUP($P30,INDIRECT(PTab&amp;"!$B:$EH"),AQ$5,FALSE)-AU30),0)),""))</f>
        <v/>
      </c>
      <c r="AR30" s="41">
        <f t="shared" ref="AR30:AU30" ca="1" si="319">IF($O30="","",IFERROR(-VLOOKUP($P30,INDIRECT(PTab&amp;"!$B:$EH"),AR$5,FALSE),0))</f>
        <v>0</v>
      </c>
      <c r="AS30" s="36">
        <f t="shared" ca="1" si="319"/>
        <v>0</v>
      </c>
      <c r="AT30" s="36">
        <f t="shared" ca="1" si="319"/>
        <v>0</v>
      </c>
      <c r="AU30" s="37">
        <f t="shared" ca="1" si="319"/>
        <v>0</v>
      </c>
      <c r="BP30" s="94"/>
    </row>
    <row r="31" spans="2:68" x14ac:dyDescent="0.3">
      <c r="O31" s="131">
        <f t="shared" ref="O31" si="320">IFERROR(IF(AND(OR(Summary="Favorable",Summary="Unfavorable",Summary="Most Recent"),OR(($O30+1)&gt;10,$O30="")),"",IF(OR(($O30+1)&gt;Projection,$O30=""),"",$O30+1)),"")</f>
        <v>20</v>
      </c>
      <c r="P31" s="132" t="e" cm="1">
        <f t="array" aca="1" ref="P31" ca="1">IF($O31="","",OFFSET(INDIRECT(PTab&amp;"!"&amp;CELL("address",$B$11)),12*$O31,0))</f>
        <v>#REF!</v>
      </c>
      <c r="Q31" s="30" t="e">
        <f t="shared" ref="Q31" ca="1" si="321">IF($O31="","",VLOOKUP($P31,INDIRECT(PTab&amp;"!$B:$EH"),Q$5,FALSE))</f>
        <v>#REF!</v>
      </c>
      <c r="R31" s="133">
        <f ca="1">IF($O31="","",IF(MOD(O31,LEFT($R$8))=0,IFERROR(INDEX(INDIRECT(R$7&amp;VLOOKUP(Summary,Ref!$Y$13:$AC$18,3,FALSE)),MATCH($P31,INDIRECT(R$7&amp;VLOOKUP(Summary,Ref!$Y$13:$AC$18,4,FALSE)),0),MATCH(R$8,INDIRECT(R$7&amp;VLOOKUP(Summary,Ref!$Y$13:$AC$18,5,FALSE)),0)),0),0))</f>
        <v>0</v>
      </c>
      <c r="S31" s="133" t="e">
        <f t="shared" ref="S31" ca="1" si="322">IF($O31="","",VLOOKUP($P31,INDIRECT(PTab&amp;"!$B:$EH"),S$5,FALSE))</f>
        <v>#REF!</v>
      </c>
      <c r="T31" s="134" t="e" cm="1">
        <f t="array" aca="1" ref="T31" ca="1">IF($O31="","",VLOOKUP($P31,INDIRECT(PTab&amp;"!$B:$EH"),T$5,FALSE)+IF(AND(PTab="P7",$O31=5),INDEX(INDIRECT(PTab&amp;"!$B$11:$EH$563"),MATCH(6&amp;"|"&amp;1,INDIRECT(PTab&amp;"!$D$11:$D$563")&amp;"|"&amp;INDIRECT(PTab&amp;"!$C$11:$C$563"),0),MATCH("Overlay Credit",INDIRECT(PTab&amp;"!$B$10:$EH$10"),0)),IF(AND(PTab="P2",Ref!$S$53="Y"),AA31,0)))</f>
        <v>#REF!</v>
      </c>
      <c r="U31" s="36" t="e">
        <f t="shared" ref="U31:W31" ca="1" si="323">IF($O31="","",VLOOKUP($P31,INDIRECT(PTab&amp;"!$B:$EH"),U$5,FALSE))</f>
        <v>#REF!</v>
      </c>
      <c r="V31" s="36" t="e">
        <f t="shared" ca="1" si="323"/>
        <v>#REF!</v>
      </c>
      <c r="W31" s="36" t="e">
        <f t="shared" ca="1" si="323"/>
        <v>#REF!</v>
      </c>
      <c r="X31" s="135" t="e">
        <f t="shared" ref="X31" ca="1" si="324">IF(OR($O31="",RIGHT(Category,2)="NY"),"",VLOOKUP($P31,INDIRECT(PTab&amp;"!$B:$EH"),X$5,FALSE))</f>
        <v>#REF!</v>
      </c>
      <c r="Y31" s="36" t="e">
        <f t="shared" ref="Y31" ca="1" si="325">IF($O31="","",VLOOKUP($P31,INDIRECT(PTab&amp;"!$B:$EH"),Y$5,FALSE))</f>
        <v>#REF!</v>
      </c>
      <c r="Z31" s="36">
        <f t="shared" ca="1" si="21"/>
        <v>0</v>
      </c>
      <c r="AA31" s="36" t="e">
        <f t="shared" ref="AA31" ca="1" si="326">IF(OR($O31="",RIGHT(Category,2)="NY"),"",VLOOKUP($P31,INDIRECT(PTab&amp;"!$B:$EH"),AA$5,FALSE))</f>
        <v>#REF!</v>
      </c>
      <c r="AB31" s="136"/>
      <c r="AC31" s="36" t="str">
        <f>IF($O31="","",IF(EICRInd="Not Available","Not Available",IF(OR($O31&lt;2,$Q31&lt;WDAge),"Eligibility Criteria Not Met",VLOOKUP(COUNTIFS($AD$11:$AD30,"Yes"),Ref!$AL$58:$AM$63,2))))</f>
        <v>Not Available</v>
      </c>
      <c r="AD31" s="140"/>
      <c r="AE31" s="36">
        <f t="shared" ref="AE31" ca="1" si="327">IF($O31="","",IFERROR(VLOOKUP(EOMONTH($P31,11),INDIRECT(PTab&amp;"!$B:$EH"),AE$5,FALSE),0))</f>
        <v>0</v>
      </c>
      <c r="AF31" s="36"/>
      <c r="AG31" s="36">
        <f t="shared" ref="AG31" ca="1" si="328">IF($O31="","",IFERROR(-VLOOKUP(EOMONTH($P31,11),INDIRECT(PTab&amp;"!$B:$EH"),AG$5,FALSE)-IF(OR(RMDInd="Yes",SWInd="Yes"),VLOOKUP(EOMONTH($P31,11),INDIRECT(PTab&amp;"!$B:$EH"),AB$5,FALSE)+AB31*(AB31&lt;&gt;""),0),0))</f>
        <v>0</v>
      </c>
      <c r="AH31" s="36">
        <f t="shared" ref="AH31" ca="1" si="329">IF($O31="","",IF(RIGHT(Category,2)="NY",IFERROR(-VLOOKUP($P31,INDIRECT(PTab&amp;"!$B:$EH"),AH$5,FALSE),0),IFERROR(VLOOKUP($P31,INDIRECT(PTab&amp;"!$B:$EH"),AH$5,FALSE),0)))</f>
        <v>0</v>
      </c>
      <c r="AI31" s="37">
        <f t="shared" ref="AI31" ca="1" si="330">IF($O31="","",IF($O31=0,IF(RIGHT(Category,2)="NY",AH31,SUM(AB31,AG31)),IF(RIGHT(Category,2)="NY",SUM(AH31,AI30),SUM(AB31,AE31*(AD31="Yes"),AG31,AI30))))</f>
        <v>0</v>
      </c>
      <c r="AJ31" s="37" t="e">
        <f t="shared" ref="AJ31" ca="1" si="331">IF($O31="","",VLOOKUP($P31,INDIRECT(PTab&amp;"!$B:$EH"),AJ$5,FALSE))</f>
        <v>#REF!</v>
      </c>
      <c r="AL31" s="135" t="e">
        <f t="shared" ref="AL31" ca="1" si="332">IF($O31="","",IF(OR(PTab="P3",PTab="P7"),VLOOKUP($P31,INDIRECT(PTab&amp;"!$B:$BA"),AL$5,FALSE),VLOOKUP(EOMONTH($P31,11),INDIRECT(PTab&amp;"!$B:$BA"),AL$5,FALSE)))</f>
        <v>#REF!</v>
      </c>
      <c r="AM31" s="41" t="e">
        <f ca="1">IF($O31="","",IF(OR(PTab="P7",Ref!$S$53="Y"),VLOOKUP($P31,INDIRECT(PTab&amp;"!$B:$EH"),AM$5,FALSE),""))</f>
        <v>#REF!</v>
      </c>
      <c r="AN31" s="36" t="str">
        <f t="shared" ref="AN31:AP31" ca="1" si="333">IF($O31="","",IF(PTab="P7",VLOOKUP($P31,INDIRECT(PTab&amp;"!$B:$EH"),AN$5,FALSE),""))</f>
        <v/>
      </c>
      <c r="AO31" s="36" t="str">
        <f t="shared" ca="1" si="333"/>
        <v/>
      </c>
      <c r="AP31" s="36" t="str">
        <f t="shared" ca="1" si="333"/>
        <v/>
      </c>
      <c r="AQ31" s="36" t="str">
        <f t="shared" ref="AQ31" ca="1" si="334">IF($O31="","", IF(PTab="P7",IF($P31=$P$11,0,MAX(AP31-(VLOOKUP($P31,INDIRECT(PTab&amp;"!$B:$EH"),AQ$5,FALSE)-AU31),0)),""))</f>
        <v/>
      </c>
      <c r="AR31" s="41">
        <f t="shared" ref="AR31:AU31" ca="1" si="335">IF($O31="","",IFERROR(-VLOOKUP($P31,INDIRECT(PTab&amp;"!$B:$EH"),AR$5,FALSE),0))</f>
        <v>0</v>
      </c>
      <c r="AS31" s="36">
        <f t="shared" ca="1" si="335"/>
        <v>0</v>
      </c>
      <c r="AT31" s="36">
        <f t="shared" ca="1" si="335"/>
        <v>0</v>
      </c>
      <c r="AU31" s="37">
        <f t="shared" ca="1" si="335"/>
        <v>0</v>
      </c>
      <c r="BP31" s="94"/>
    </row>
    <row r="32" spans="2:68" x14ac:dyDescent="0.3">
      <c r="B32" s="151" t="s">
        <v>18</v>
      </c>
      <c r="C32" s="152" t="s">
        <v>90</v>
      </c>
      <c r="O32" s="131">
        <f t="shared" ref="O32" si="336">IFERROR(IF(AND(OR(Summary="Favorable",Summary="Unfavorable",Summary="Most Recent"),OR(($O31+1)&gt;10,$O31="")),"",IF(OR(($O31+1)&gt;Projection,$O31=""),"",$O31+1)),"")</f>
        <v>21</v>
      </c>
      <c r="P32" s="132" t="e" cm="1">
        <f t="array" aca="1" ref="P32" ca="1">IF($O32="","",OFFSET(INDIRECT(PTab&amp;"!"&amp;CELL("address",$B$11)),12*$O32,0))</f>
        <v>#REF!</v>
      </c>
      <c r="Q32" s="30" t="e">
        <f t="shared" ref="Q32" ca="1" si="337">IF($O32="","",VLOOKUP($P32,INDIRECT(PTab&amp;"!$B:$EH"),Q$5,FALSE))</f>
        <v>#REF!</v>
      </c>
      <c r="R32" s="133">
        <f ca="1">IF($O32="","",IF(MOD(O32,LEFT($R$8))=0,IFERROR(INDEX(INDIRECT(R$7&amp;VLOOKUP(Summary,Ref!$Y$13:$AC$18,3,FALSE)),MATCH($P32,INDIRECT(R$7&amp;VLOOKUP(Summary,Ref!$Y$13:$AC$18,4,FALSE)),0),MATCH(R$8,INDIRECT(R$7&amp;VLOOKUP(Summary,Ref!$Y$13:$AC$18,5,FALSE)),0)),0),0))</f>
        <v>0</v>
      </c>
      <c r="S32" s="133" t="e">
        <f t="shared" ref="S32" ca="1" si="338">IF($O32="","",VLOOKUP($P32,INDIRECT(PTab&amp;"!$B:$EH"),S$5,FALSE))</f>
        <v>#REF!</v>
      </c>
      <c r="T32" s="134" t="e" cm="1">
        <f t="array" aca="1" ref="T32" ca="1">IF($O32="","",VLOOKUP($P32,INDIRECT(PTab&amp;"!$B:$EH"),T$5,FALSE)+IF(AND(PTab="P7",$O32=5),INDEX(INDIRECT(PTab&amp;"!$B$11:$EH$563"),MATCH(6&amp;"|"&amp;1,INDIRECT(PTab&amp;"!$D$11:$D$563")&amp;"|"&amp;INDIRECT(PTab&amp;"!$C$11:$C$563"),0),MATCH("Overlay Credit",INDIRECT(PTab&amp;"!$B$10:$EH$10"),0)),IF(AND(PTab="P2",Ref!$S$53="Y"),AA32,0)))</f>
        <v>#REF!</v>
      </c>
      <c r="U32" s="36" t="e">
        <f t="shared" ref="U32:W32" ca="1" si="339">IF($O32="","",VLOOKUP($P32,INDIRECT(PTab&amp;"!$B:$EH"),U$5,FALSE))</f>
        <v>#REF!</v>
      </c>
      <c r="V32" s="36" t="e">
        <f t="shared" ca="1" si="339"/>
        <v>#REF!</v>
      </c>
      <c r="W32" s="36" t="e">
        <f t="shared" ca="1" si="339"/>
        <v>#REF!</v>
      </c>
      <c r="X32" s="135" t="e">
        <f t="shared" ref="X32" ca="1" si="340">IF(OR($O32="",RIGHT(Category,2)="NY"),"",VLOOKUP($P32,INDIRECT(PTab&amp;"!$B:$EH"),X$5,FALSE))</f>
        <v>#REF!</v>
      </c>
      <c r="Y32" s="36" t="e">
        <f t="shared" ref="Y32" ca="1" si="341">IF($O32="","",VLOOKUP($P32,INDIRECT(PTab&amp;"!$B:$EH"),Y$5,FALSE))</f>
        <v>#REF!</v>
      </c>
      <c r="Z32" s="36">
        <f t="shared" ca="1" si="21"/>
        <v>0</v>
      </c>
      <c r="AA32" s="36" t="e">
        <f t="shared" ref="AA32" ca="1" si="342">IF(OR($O32="",RIGHT(Category,2)="NY"),"",VLOOKUP($P32,INDIRECT(PTab&amp;"!$B:$EH"),AA$5,FALSE))</f>
        <v>#REF!</v>
      </c>
      <c r="AB32" s="136"/>
      <c r="AC32" s="36" t="str">
        <f>IF($O32="","",IF(EICRInd="Not Available","Not Available",IF(OR($O32&lt;2,$Q32&lt;WDAge),"Eligibility Criteria Not Met",VLOOKUP(COUNTIFS($AD$11:$AD31,"Yes"),Ref!$AL$58:$AM$63,2))))</f>
        <v>Not Available</v>
      </c>
      <c r="AD32" s="140"/>
      <c r="AE32" s="36">
        <f t="shared" ref="AE32" ca="1" si="343">IF($O32="","",IFERROR(VLOOKUP(EOMONTH($P32,11),INDIRECT(PTab&amp;"!$B:$EH"),AE$5,FALSE),0))</f>
        <v>0</v>
      </c>
      <c r="AF32" s="36"/>
      <c r="AG32" s="36">
        <f t="shared" ref="AG32" ca="1" si="344">IF($O32="","",IFERROR(-VLOOKUP(EOMONTH($P32,11),INDIRECT(PTab&amp;"!$B:$EH"),AG$5,FALSE)-IF(OR(RMDInd="Yes",SWInd="Yes"),VLOOKUP(EOMONTH($P32,11),INDIRECT(PTab&amp;"!$B:$EH"),AB$5,FALSE)+AB32*(AB32&lt;&gt;""),0),0))</f>
        <v>0</v>
      </c>
      <c r="AH32" s="36">
        <f t="shared" ref="AH32" ca="1" si="345">IF($O32="","",IF(RIGHT(Category,2)="NY",IFERROR(-VLOOKUP($P32,INDIRECT(PTab&amp;"!$B:$EH"),AH$5,FALSE),0),IFERROR(VLOOKUP($P32,INDIRECT(PTab&amp;"!$B:$EH"),AH$5,FALSE),0)))</f>
        <v>0</v>
      </c>
      <c r="AI32" s="37">
        <f t="shared" ref="AI32" ca="1" si="346">IF($O32="","",IF($O32=0,IF(RIGHT(Category,2)="NY",AH32,SUM(AB32,AG32)),IF(RIGHT(Category,2)="NY",SUM(AH32,AI31),SUM(AB32,AE32*(AD32="Yes"),AG32,AI31))))</f>
        <v>0</v>
      </c>
      <c r="AJ32" s="37" t="e">
        <f t="shared" ref="AJ32" ca="1" si="347">IF($O32="","",VLOOKUP($P32,INDIRECT(PTab&amp;"!$B:$EH"),AJ$5,FALSE))</f>
        <v>#REF!</v>
      </c>
      <c r="AL32" s="135" t="e">
        <f t="shared" ref="AL32" ca="1" si="348">IF($O32="","",IF(OR(PTab="P3",PTab="P7"),VLOOKUP($P32,INDIRECT(PTab&amp;"!$B:$BA"),AL$5,FALSE),VLOOKUP(EOMONTH($P32,11),INDIRECT(PTab&amp;"!$B:$BA"),AL$5,FALSE)))</f>
        <v>#REF!</v>
      </c>
      <c r="AM32" s="41" t="e">
        <f ca="1">IF($O32="","",IF(OR(PTab="P7",Ref!$S$53="Y"),VLOOKUP($P32,INDIRECT(PTab&amp;"!$B:$EH"),AM$5,FALSE),""))</f>
        <v>#REF!</v>
      </c>
      <c r="AN32" s="36" t="str">
        <f t="shared" ref="AN32:AP32" ca="1" si="349">IF($O32="","",IF(PTab="P7",VLOOKUP($P32,INDIRECT(PTab&amp;"!$B:$EH"),AN$5,FALSE),""))</f>
        <v/>
      </c>
      <c r="AO32" s="36" t="str">
        <f t="shared" ca="1" si="349"/>
        <v/>
      </c>
      <c r="AP32" s="36" t="str">
        <f t="shared" ca="1" si="349"/>
        <v/>
      </c>
      <c r="AQ32" s="36" t="str">
        <f t="shared" ref="AQ32" ca="1" si="350">IF($O32="","", IF(PTab="P7",IF($P32=$P$11,0,MAX(AP32-(VLOOKUP($P32,INDIRECT(PTab&amp;"!$B:$EH"),AQ$5,FALSE)-AU32),0)),""))</f>
        <v/>
      </c>
      <c r="AR32" s="41">
        <f t="shared" ref="AR32:AU32" ca="1" si="351">IF($O32="","",IFERROR(-VLOOKUP($P32,INDIRECT(PTab&amp;"!$B:$EH"),AR$5,FALSE),0))</f>
        <v>0</v>
      </c>
      <c r="AS32" s="36">
        <f t="shared" ca="1" si="351"/>
        <v>0</v>
      </c>
      <c r="AT32" s="36">
        <f t="shared" ca="1" si="351"/>
        <v>0</v>
      </c>
      <c r="AU32" s="37">
        <f t="shared" ca="1" si="351"/>
        <v>0</v>
      </c>
      <c r="BP32" s="94"/>
    </row>
    <row r="33" spans="2:68" x14ac:dyDescent="0.3">
      <c r="B33" s="153" t="s">
        <v>91</v>
      </c>
      <c r="C33" s="154" t="s">
        <v>92</v>
      </c>
      <c r="O33" s="131">
        <f t="shared" ref="O33" si="352">IFERROR(IF(AND(OR(Summary="Favorable",Summary="Unfavorable",Summary="Most Recent"),OR(($O32+1)&gt;10,$O32="")),"",IF(OR(($O32+1)&gt;Projection,$O32=""),"",$O32+1)),"")</f>
        <v>22</v>
      </c>
      <c r="P33" s="132" t="e" cm="1">
        <f t="array" aca="1" ref="P33" ca="1">IF($O33="","",OFFSET(INDIRECT(PTab&amp;"!"&amp;CELL("address",$B$11)),12*$O33,0))</f>
        <v>#REF!</v>
      </c>
      <c r="Q33" s="30" t="e">
        <f t="shared" ref="Q33" ca="1" si="353">IF($O33="","",VLOOKUP($P33,INDIRECT(PTab&amp;"!$B:$EH"),Q$5,FALSE))</f>
        <v>#REF!</v>
      </c>
      <c r="R33" s="133">
        <f ca="1">IF($O33="","",IF(MOD(O33,LEFT($R$8))=0,IFERROR(INDEX(INDIRECT(R$7&amp;VLOOKUP(Summary,Ref!$Y$13:$AC$18,3,FALSE)),MATCH($P33,INDIRECT(R$7&amp;VLOOKUP(Summary,Ref!$Y$13:$AC$18,4,FALSE)),0),MATCH(R$8,INDIRECT(R$7&amp;VLOOKUP(Summary,Ref!$Y$13:$AC$18,5,FALSE)),0)),0),0))</f>
        <v>0</v>
      </c>
      <c r="S33" s="133" t="e">
        <f t="shared" ref="S33" ca="1" si="354">IF($O33="","",VLOOKUP($P33,INDIRECT(PTab&amp;"!$B:$EH"),S$5,FALSE))</f>
        <v>#REF!</v>
      </c>
      <c r="T33" s="134" t="e" cm="1">
        <f t="array" aca="1" ref="T33" ca="1">IF($O33="","",VLOOKUP($P33,INDIRECT(PTab&amp;"!$B:$EH"),T$5,FALSE)+IF(AND(PTab="P7",$O33=5),INDEX(INDIRECT(PTab&amp;"!$B$11:$EH$563"),MATCH(6&amp;"|"&amp;1,INDIRECT(PTab&amp;"!$D$11:$D$563")&amp;"|"&amp;INDIRECT(PTab&amp;"!$C$11:$C$563"),0),MATCH("Overlay Credit",INDIRECT(PTab&amp;"!$B$10:$EH$10"),0)),IF(AND(PTab="P2",Ref!$S$53="Y"),AA33,0)))</f>
        <v>#REF!</v>
      </c>
      <c r="U33" s="36" t="e">
        <f t="shared" ref="U33:W33" ca="1" si="355">IF($O33="","",VLOOKUP($P33,INDIRECT(PTab&amp;"!$B:$EH"),U$5,FALSE))</f>
        <v>#REF!</v>
      </c>
      <c r="V33" s="36" t="e">
        <f t="shared" ca="1" si="355"/>
        <v>#REF!</v>
      </c>
      <c r="W33" s="36" t="e">
        <f t="shared" ca="1" si="355"/>
        <v>#REF!</v>
      </c>
      <c r="X33" s="135" t="e">
        <f t="shared" ref="X33" ca="1" si="356">IF(OR($O33="",RIGHT(Category,2)="NY"),"",VLOOKUP($P33,INDIRECT(PTab&amp;"!$B:$EH"),X$5,FALSE))</f>
        <v>#REF!</v>
      </c>
      <c r="Y33" s="36" t="e">
        <f t="shared" ref="Y33" ca="1" si="357">IF($O33="","",VLOOKUP($P33,INDIRECT(PTab&amp;"!$B:$EH"),Y$5,FALSE))</f>
        <v>#REF!</v>
      </c>
      <c r="Z33" s="36">
        <f t="shared" ca="1" si="21"/>
        <v>0</v>
      </c>
      <c r="AA33" s="36" t="e">
        <f t="shared" ref="AA33" ca="1" si="358">IF(OR($O33="",RIGHT(Category,2)="NY"),"",VLOOKUP($P33,INDIRECT(PTab&amp;"!$B:$EH"),AA$5,FALSE))</f>
        <v>#REF!</v>
      </c>
      <c r="AB33" s="136"/>
      <c r="AC33" s="36" t="str">
        <f>IF($O33="","",IF(EICRInd="Not Available","Not Available",IF(OR($O33&lt;2,$Q33&lt;WDAge),"Eligibility Criteria Not Met",VLOOKUP(COUNTIFS($AD$11:$AD32,"Yes"),Ref!$AL$58:$AM$63,2))))</f>
        <v>Not Available</v>
      </c>
      <c r="AD33" s="140"/>
      <c r="AE33" s="36">
        <f t="shared" ref="AE33" ca="1" si="359">IF($O33="","",IFERROR(VLOOKUP(EOMONTH($P33,11),INDIRECT(PTab&amp;"!$B:$EH"),AE$5,FALSE),0))</f>
        <v>0</v>
      </c>
      <c r="AF33" s="36"/>
      <c r="AG33" s="36">
        <f t="shared" ref="AG33" ca="1" si="360">IF($O33="","",IFERROR(-VLOOKUP(EOMONTH($P33,11),INDIRECT(PTab&amp;"!$B:$EH"),AG$5,FALSE)-IF(OR(RMDInd="Yes",SWInd="Yes"),VLOOKUP(EOMONTH($P33,11),INDIRECT(PTab&amp;"!$B:$EH"),AB$5,FALSE)+AB33*(AB33&lt;&gt;""),0),0))</f>
        <v>0</v>
      </c>
      <c r="AH33" s="36">
        <f t="shared" ref="AH33" ca="1" si="361">IF($O33="","",IF(RIGHT(Category,2)="NY",IFERROR(-VLOOKUP($P33,INDIRECT(PTab&amp;"!$B:$EH"),AH$5,FALSE),0),IFERROR(VLOOKUP($P33,INDIRECT(PTab&amp;"!$B:$EH"),AH$5,FALSE),0)))</f>
        <v>0</v>
      </c>
      <c r="AI33" s="37">
        <f t="shared" ref="AI33" ca="1" si="362">IF($O33="","",IF($O33=0,IF(RIGHT(Category,2)="NY",AH33,SUM(AB33,AG33)),IF(RIGHT(Category,2)="NY",SUM(AH33,AI32),SUM(AB33,AE33*(AD33="Yes"),AG33,AI32))))</f>
        <v>0</v>
      </c>
      <c r="AJ33" s="37" t="e">
        <f t="shared" ref="AJ33" ca="1" si="363">IF($O33="","",VLOOKUP($P33,INDIRECT(PTab&amp;"!$B:$EH"),AJ$5,FALSE))</f>
        <v>#REF!</v>
      </c>
      <c r="AL33" s="135" t="e">
        <f t="shared" ref="AL33" ca="1" si="364">IF($O33="","",IF(OR(PTab="P3",PTab="P7"),VLOOKUP($P33,INDIRECT(PTab&amp;"!$B:$BA"),AL$5,FALSE),VLOOKUP(EOMONTH($P33,11),INDIRECT(PTab&amp;"!$B:$BA"),AL$5,FALSE)))</f>
        <v>#REF!</v>
      </c>
      <c r="AM33" s="41" t="e">
        <f ca="1">IF($O33="","",IF(OR(PTab="P7",Ref!$S$53="Y"),VLOOKUP($P33,INDIRECT(PTab&amp;"!$B:$EH"),AM$5,FALSE),""))</f>
        <v>#REF!</v>
      </c>
      <c r="AN33" s="36" t="str">
        <f t="shared" ref="AN33:AP33" ca="1" si="365">IF($O33="","",IF(PTab="P7",VLOOKUP($P33,INDIRECT(PTab&amp;"!$B:$EH"),AN$5,FALSE),""))</f>
        <v/>
      </c>
      <c r="AO33" s="36" t="str">
        <f t="shared" ca="1" si="365"/>
        <v/>
      </c>
      <c r="AP33" s="36" t="str">
        <f t="shared" ca="1" si="365"/>
        <v/>
      </c>
      <c r="AQ33" s="36" t="str">
        <f t="shared" ref="AQ33" ca="1" si="366">IF($O33="","", IF(PTab="P7",IF($P33=$P$11,0,MAX(AP33-(VLOOKUP($P33,INDIRECT(PTab&amp;"!$B:$EH"),AQ$5,FALSE)-AU33),0)),""))</f>
        <v/>
      </c>
      <c r="AR33" s="41">
        <f t="shared" ref="AR33:AU33" ca="1" si="367">IF($O33="","",IFERROR(-VLOOKUP($P33,INDIRECT(PTab&amp;"!$B:$EH"),AR$5,FALSE),0))</f>
        <v>0</v>
      </c>
      <c r="AS33" s="36">
        <f t="shared" ca="1" si="367"/>
        <v>0</v>
      </c>
      <c r="AT33" s="36">
        <f t="shared" ca="1" si="367"/>
        <v>0</v>
      </c>
      <c r="AU33" s="37">
        <f t="shared" ca="1" si="367"/>
        <v>0</v>
      </c>
      <c r="BP33" s="94"/>
    </row>
    <row r="34" spans="2:68" ht="15.6" x14ac:dyDescent="0.3">
      <c r="B34" s="153" t="s">
        <v>93</v>
      </c>
      <c r="C34" s="155">
        <v>73</v>
      </c>
      <c r="O34" s="131" t="str">
        <f t="shared" ref="O34" si="368">IFERROR(IF(AND(OR(Summary="Favorable",Summary="Unfavorable",Summary="Most Recent"),OR(($O33+1)&gt;10,$O33="")),"",IF(OR(($O33+1)&gt;Projection,$O33=""),"",$O33+1)),"")</f>
        <v/>
      </c>
      <c r="P34" s="132" t="str" cm="1">
        <f t="array" aca="1" ref="P34" ca="1">IF($O34="","",OFFSET(INDIRECT(PTab&amp;"!"&amp;CELL("address",$B$11)),12*$O34,0))</f>
        <v/>
      </c>
      <c r="Q34" s="30" t="str">
        <f t="shared" ref="Q34" ca="1" si="369">IF($O34="","",VLOOKUP($P34,INDIRECT(PTab&amp;"!$B:$EH"),Q$5,FALSE))</f>
        <v/>
      </c>
      <c r="R34" s="133" t="str">
        <f ca="1">IF($O34="","",IF(MOD(O34,LEFT($R$8))=0,IFERROR(INDEX(INDIRECT(R$7&amp;VLOOKUP(Summary,Ref!$Y$13:$AC$18,3,FALSE)),MATCH($P34,INDIRECT(R$7&amp;VLOOKUP(Summary,Ref!$Y$13:$AC$18,4,FALSE)),0),MATCH(R$8,INDIRECT(R$7&amp;VLOOKUP(Summary,Ref!$Y$13:$AC$18,5,FALSE)),0)),0),0))</f>
        <v/>
      </c>
      <c r="S34" s="133" t="str">
        <f t="shared" ref="S34" ca="1" si="370">IF($O34="","",VLOOKUP($P34,INDIRECT(PTab&amp;"!$B:$EH"),S$5,FALSE))</f>
        <v/>
      </c>
      <c r="T34" s="134" t="str" cm="1">
        <f t="array" aca="1" ref="T34" ca="1">IF($O34="","",VLOOKUP($P34,INDIRECT(PTab&amp;"!$B:$EH"),T$5,FALSE)+IF(AND(PTab="P7",$O34=5),INDEX(INDIRECT(PTab&amp;"!$B$11:$EH$563"),MATCH(6&amp;"|"&amp;1,INDIRECT(PTab&amp;"!$D$11:$D$563")&amp;"|"&amp;INDIRECT(PTab&amp;"!$C$11:$C$563"),0),MATCH("Overlay Credit",INDIRECT(PTab&amp;"!$B$10:$EH$10"),0)),IF(AND(PTab="P2",Ref!$S$53="Y"),AA34,0)))</f>
        <v/>
      </c>
      <c r="U34" s="36" t="str">
        <f t="shared" ref="U34:W34" ca="1" si="371">IF($O34="","",VLOOKUP($P34,INDIRECT(PTab&amp;"!$B:$EH"),U$5,FALSE))</f>
        <v/>
      </c>
      <c r="V34" s="36" t="str">
        <f t="shared" ca="1" si="371"/>
        <v/>
      </c>
      <c r="W34" s="36" t="str">
        <f t="shared" ca="1" si="371"/>
        <v/>
      </c>
      <c r="X34" s="135" t="str">
        <f t="shared" ref="X34" ca="1" si="372">IF(OR($O34="",RIGHT(Category,2)="NY"),"",VLOOKUP($P34,INDIRECT(PTab&amp;"!$B:$EH"),X$5,FALSE))</f>
        <v/>
      </c>
      <c r="Y34" s="36" t="str">
        <f t="shared" ref="Y34" ca="1" si="373">IF($O34="","",VLOOKUP($P34,INDIRECT(PTab&amp;"!$B:$EH"),Y$5,FALSE))</f>
        <v/>
      </c>
      <c r="Z34" s="36" t="str">
        <f t="shared" si="21"/>
        <v/>
      </c>
      <c r="AA34" s="36" t="str">
        <f t="shared" ref="AA34" ca="1" si="374">IF(OR($O34="",RIGHT(Category,2)="NY"),"",VLOOKUP($P34,INDIRECT(PTab&amp;"!$B:$EH"),AA$5,FALSE))</f>
        <v/>
      </c>
      <c r="AB34" s="136"/>
      <c r="AC34" s="36" t="str">
        <f>IF($O34="","",IF(EICRInd="Not Available","Not Available",IF(OR($O34&lt;2,$Q34&lt;WDAge),"Eligibility Criteria Not Met",VLOOKUP(COUNTIFS($AD$11:$AD33,"Yes"),Ref!$AL$58:$AM$63,2))))</f>
        <v/>
      </c>
      <c r="AD34" s="140"/>
      <c r="AE34" s="36" t="str">
        <f t="shared" ref="AE34" ca="1" si="375">IF($O34="","",IFERROR(VLOOKUP(EOMONTH($P34,11),INDIRECT(PTab&amp;"!$B:$EH"),AE$5,FALSE),0))</f>
        <v/>
      </c>
      <c r="AF34" s="36"/>
      <c r="AG34" s="36" t="str">
        <f t="shared" ref="AG34" ca="1" si="376">IF($O34="","",IFERROR(-VLOOKUP(EOMONTH($P34,11),INDIRECT(PTab&amp;"!$B:$EH"),AG$5,FALSE)-IF(OR(RMDInd="Yes",SWInd="Yes"),VLOOKUP(EOMONTH($P34,11),INDIRECT(PTab&amp;"!$B:$EH"),AB$5,FALSE)+AB34*(AB34&lt;&gt;""),0),0))</f>
        <v/>
      </c>
      <c r="AH34" s="36" t="str">
        <f t="shared" ref="AH34" ca="1" si="377">IF($O34="","",IF(RIGHT(Category,2)="NY",IFERROR(-VLOOKUP($P34,INDIRECT(PTab&amp;"!$B:$EH"),AH$5,FALSE),0),IFERROR(VLOOKUP($P34,INDIRECT(PTab&amp;"!$B:$EH"),AH$5,FALSE),0)))</f>
        <v/>
      </c>
      <c r="AI34" s="37" t="str">
        <f t="shared" ref="AI34" si="378">IF($O34="","",IF($O34=0,IF(RIGHT(Category,2)="NY",AH34,SUM(AB34,AG34)),IF(RIGHT(Category,2)="NY",SUM(AH34,AI33),SUM(AB34,AE34*(AD34="Yes"),AG34,AI33))))</f>
        <v/>
      </c>
      <c r="AJ34" s="37" t="str">
        <f t="shared" ref="AJ34" ca="1" si="379">IF($O34="","",VLOOKUP($P34,INDIRECT(PTab&amp;"!$B:$EH"),AJ$5,FALSE))</f>
        <v/>
      </c>
      <c r="AL34" s="135" t="str">
        <f t="shared" ref="AL34" ca="1" si="380">IF($O34="","",IF(OR(PTab="P3",PTab="P7"),VLOOKUP($P34,INDIRECT(PTab&amp;"!$B:$BA"),AL$5,FALSE),VLOOKUP(EOMONTH($P34,11),INDIRECT(PTab&amp;"!$B:$BA"),AL$5,FALSE)))</f>
        <v/>
      </c>
      <c r="AM34" s="41" t="str">
        <f ca="1">IF($O34="","",IF(OR(PTab="P7",Ref!$S$53="Y"),VLOOKUP($P34,INDIRECT(PTab&amp;"!$B:$EH"),AM$5,FALSE),""))</f>
        <v/>
      </c>
      <c r="AN34" s="36" t="str">
        <f t="shared" ref="AN34:AP34" ca="1" si="381">IF($O34="","",IF(PTab="P7",VLOOKUP($P34,INDIRECT(PTab&amp;"!$B:$EH"),AN$5,FALSE),""))</f>
        <v/>
      </c>
      <c r="AO34" s="36" t="str">
        <f t="shared" ca="1" si="381"/>
        <v/>
      </c>
      <c r="AP34" s="36" t="str">
        <f t="shared" ca="1" si="381"/>
        <v/>
      </c>
      <c r="AQ34" s="36" t="str">
        <f t="shared" ref="AQ34" ca="1" si="382">IF($O34="","", IF(PTab="P7",IF($P34=$P$11,0,MAX(AP34-(VLOOKUP($P34,INDIRECT(PTab&amp;"!$B:$EH"),AQ$5,FALSE)-AU34),0)),""))</f>
        <v/>
      </c>
      <c r="AR34" s="41" t="str">
        <f t="shared" ref="AR34:AU34" ca="1" si="383">IF($O34="","",IFERROR(-VLOOKUP($P34,INDIRECT(PTab&amp;"!$B:$EH"),AR$5,FALSE),0))</f>
        <v/>
      </c>
      <c r="AS34" s="36" t="str">
        <f t="shared" ca="1" si="383"/>
        <v/>
      </c>
      <c r="AT34" s="36" t="str">
        <f t="shared" ca="1" si="383"/>
        <v/>
      </c>
      <c r="AU34" s="37" t="str">
        <f t="shared" ca="1" si="383"/>
        <v/>
      </c>
      <c r="BP34" s="94"/>
    </row>
    <row r="35" spans="2:68" ht="15.6" x14ac:dyDescent="0.3">
      <c r="B35" s="153" t="s">
        <v>94</v>
      </c>
      <c r="C35" s="155">
        <v>65</v>
      </c>
      <c r="O35" s="131" t="str">
        <f t="shared" ref="O35" si="384">IFERROR(IF(AND(OR(Summary="Favorable",Summary="Unfavorable",Summary="Most Recent"),OR(($O34+1)&gt;10,$O34="")),"",IF(OR(($O34+1)&gt;Projection,$O34=""),"",$O34+1)),"")</f>
        <v/>
      </c>
      <c r="P35" s="132" t="str" cm="1">
        <f t="array" aca="1" ref="P35" ca="1">IF($O35="","",OFFSET(INDIRECT(PTab&amp;"!"&amp;CELL("address",$B$11)),12*$O35,0))</f>
        <v/>
      </c>
      <c r="Q35" s="30" t="str">
        <f t="shared" ref="Q35" ca="1" si="385">IF($O35="","",VLOOKUP($P35,INDIRECT(PTab&amp;"!$B:$EH"),Q$5,FALSE))</f>
        <v/>
      </c>
      <c r="R35" s="133" t="str">
        <f ca="1">IF($O35="","",IF(MOD(O35,LEFT($R$8))=0,IFERROR(INDEX(INDIRECT(R$7&amp;VLOOKUP(Summary,Ref!$Y$13:$AC$18,3,FALSE)),MATCH($P35,INDIRECT(R$7&amp;VLOOKUP(Summary,Ref!$Y$13:$AC$18,4,FALSE)),0),MATCH(R$8,INDIRECT(R$7&amp;VLOOKUP(Summary,Ref!$Y$13:$AC$18,5,FALSE)),0)),0),0))</f>
        <v/>
      </c>
      <c r="S35" s="133" t="str">
        <f t="shared" ref="S35" ca="1" si="386">IF($O35="","",VLOOKUP($P35,INDIRECT(PTab&amp;"!$B:$EH"),S$5,FALSE))</f>
        <v/>
      </c>
      <c r="T35" s="134" t="str" cm="1">
        <f t="array" aca="1" ref="T35" ca="1">IF($O35="","",VLOOKUP($P35,INDIRECT(PTab&amp;"!$B:$EH"),T$5,FALSE)+IF(AND(PTab="P7",$O35=5),INDEX(INDIRECT(PTab&amp;"!$B$11:$EH$563"),MATCH(6&amp;"|"&amp;1,INDIRECT(PTab&amp;"!$D$11:$D$563")&amp;"|"&amp;INDIRECT(PTab&amp;"!$C$11:$C$563"),0),MATCH("Overlay Credit",INDIRECT(PTab&amp;"!$B$10:$EH$10"),0)),IF(AND(PTab="P2",Ref!$S$53="Y"),AA35,0)))</f>
        <v/>
      </c>
      <c r="U35" s="36" t="str">
        <f t="shared" ref="U35:W35" ca="1" si="387">IF($O35="","",VLOOKUP($P35,INDIRECT(PTab&amp;"!$B:$EH"),U$5,FALSE))</f>
        <v/>
      </c>
      <c r="V35" s="36" t="str">
        <f t="shared" ca="1" si="387"/>
        <v/>
      </c>
      <c r="W35" s="36" t="str">
        <f t="shared" ca="1" si="387"/>
        <v/>
      </c>
      <c r="X35" s="135" t="str">
        <f t="shared" ref="X35" ca="1" si="388">IF(OR($O35="",RIGHT(Category,2)="NY"),"",VLOOKUP($P35,INDIRECT(PTab&amp;"!$B:$EH"),X$5,FALSE))</f>
        <v/>
      </c>
      <c r="Y35" s="36" t="str">
        <f t="shared" ref="Y35" ca="1" si="389">IF($O35="","",VLOOKUP($P35,INDIRECT(PTab&amp;"!$B:$EH"),Y$5,FALSE))</f>
        <v/>
      </c>
      <c r="Z35" s="36" t="str">
        <f t="shared" si="21"/>
        <v/>
      </c>
      <c r="AA35" s="36" t="str">
        <f t="shared" ref="AA35" ca="1" si="390">IF(OR($O35="",RIGHT(Category,2)="NY"),"",VLOOKUP($P35,INDIRECT(PTab&amp;"!$B:$EH"),AA$5,FALSE))</f>
        <v/>
      </c>
      <c r="AB35" s="136"/>
      <c r="AC35" s="36" t="str">
        <f>IF($O35="","",IF(EICRInd="Not Available","Not Available",IF(OR($O35&lt;2,$Q35&lt;WDAge),"Eligibility Criteria Not Met",VLOOKUP(COUNTIFS($AD$11:$AD34,"Yes"),Ref!$AL$58:$AM$63,2))))</f>
        <v/>
      </c>
      <c r="AD35" s="140"/>
      <c r="AE35" s="36" t="str">
        <f t="shared" ref="AE35" ca="1" si="391">IF($O35="","",IFERROR(VLOOKUP(EOMONTH($P35,11),INDIRECT(PTab&amp;"!$B:$EH"),AE$5,FALSE),0))</f>
        <v/>
      </c>
      <c r="AF35" s="36"/>
      <c r="AG35" s="36" t="str">
        <f t="shared" ref="AG35" ca="1" si="392">IF($O35="","",IFERROR(-VLOOKUP(EOMONTH($P35,11),INDIRECT(PTab&amp;"!$B:$EH"),AG$5,FALSE)-IF(OR(RMDInd="Yes",SWInd="Yes"),VLOOKUP(EOMONTH($P35,11),INDIRECT(PTab&amp;"!$B:$EH"),AB$5,FALSE)+AB35*(AB35&lt;&gt;""),0),0))</f>
        <v/>
      </c>
      <c r="AH35" s="36" t="str">
        <f t="shared" ref="AH35" ca="1" si="393">IF($O35="","",IF(RIGHT(Category,2)="NY",IFERROR(-VLOOKUP($P35,INDIRECT(PTab&amp;"!$B:$EH"),AH$5,FALSE),0),IFERROR(VLOOKUP($P35,INDIRECT(PTab&amp;"!$B:$EH"),AH$5,FALSE),0)))</f>
        <v/>
      </c>
      <c r="AI35" s="37" t="str">
        <f t="shared" ref="AI35" si="394">IF($O35="","",IF($O35=0,IF(RIGHT(Category,2)="NY",AH35,SUM(AB35,AG35)),IF(RIGHT(Category,2)="NY",SUM(AH35,AI34),SUM(AB35,AE35*(AD35="Yes"),AG35,AI34))))</f>
        <v/>
      </c>
      <c r="AJ35" s="37" t="str">
        <f t="shared" ref="AJ35" ca="1" si="395">IF($O35="","",VLOOKUP($P35,INDIRECT(PTab&amp;"!$B:$EH"),AJ$5,FALSE))</f>
        <v/>
      </c>
      <c r="AL35" s="135" t="str">
        <f t="shared" ref="AL35" ca="1" si="396">IF($O35="","",IF(OR(PTab="P3",PTab="P7"),VLOOKUP($P35,INDIRECT(PTab&amp;"!$B:$BA"),AL$5,FALSE),VLOOKUP(EOMONTH($P35,11),INDIRECT(PTab&amp;"!$B:$BA"),AL$5,FALSE)))</f>
        <v/>
      </c>
      <c r="AM35" s="41" t="str">
        <f ca="1">IF($O35="","",IF(OR(PTab="P7",Ref!$S$53="Y"),VLOOKUP($P35,INDIRECT(PTab&amp;"!$B:$EH"),AM$5,FALSE),""))</f>
        <v/>
      </c>
      <c r="AN35" s="36" t="str">
        <f t="shared" ref="AN35:AP35" ca="1" si="397">IF($O35="","",IF(PTab="P7",VLOOKUP($P35,INDIRECT(PTab&amp;"!$B:$EH"),AN$5,FALSE),""))</f>
        <v/>
      </c>
      <c r="AO35" s="36" t="str">
        <f t="shared" ca="1" si="397"/>
        <v/>
      </c>
      <c r="AP35" s="36" t="str">
        <f t="shared" ca="1" si="397"/>
        <v/>
      </c>
      <c r="AQ35" s="36" t="str">
        <f t="shared" ref="AQ35" ca="1" si="398">IF($O35="","", IF(PTab="P7",IF($P35=$P$11,0,MAX(AP35-(VLOOKUP($P35,INDIRECT(PTab&amp;"!$B:$EH"),AQ$5,FALSE)-AU35),0)),""))</f>
        <v/>
      </c>
      <c r="AR35" s="41" t="str">
        <f t="shared" ref="AR35:AU35" ca="1" si="399">IF($O35="","",IFERROR(-VLOOKUP($P35,INDIRECT(PTab&amp;"!$B:$EH"),AR$5,FALSE),0))</f>
        <v/>
      </c>
      <c r="AS35" s="36" t="str">
        <f t="shared" ca="1" si="399"/>
        <v/>
      </c>
      <c r="AT35" s="36" t="str">
        <f t="shared" ca="1" si="399"/>
        <v/>
      </c>
      <c r="AU35" s="37" t="str">
        <f t="shared" ca="1" si="399"/>
        <v/>
      </c>
      <c r="BP35" s="94"/>
    </row>
    <row r="36" spans="2:68" x14ac:dyDescent="0.3">
      <c r="B36" s="153" t="s">
        <v>95</v>
      </c>
      <c r="C36" s="155">
        <v>95</v>
      </c>
      <c r="O36" s="131" t="str">
        <f t="shared" ref="O36" si="400">IFERROR(IF(AND(OR(Summary="Favorable",Summary="Unfavorable",Summary="Most Recent"),OR(($O35+1)&gt;10,$O35="")),"",IF(OR(($O35+1)&gt;Projection,$O35=""),"",$O35+1)),"")</f>
        <v/>
      </c>
      <c r="P36" s="132" t="str" cm="1">
        <f t="array" aca="1" ref="P36" ca="1">IF($O36="","",OFFSET(INDIRECT(PTab&amp;"!"&amp;CELL("address",$B$11)),12*$O36,0))</f>
        <v/>
      </c>
      <c r="Q36" s="30" t="str">
        <f t="shared" ref="Q36" ca="1" si="401">IF($O36="","",VLOOKUP($P36,INDIRECT(PTab&amp;"!$B:$EH"),Q$5,FALSE))</f>
        <v/>
      </c>
      <c r="R36" s="133" t="str">
        <f ca="1">IF($O36="","",IF(MOD(O36,LEFT($R$8))=0,IFERROR(INDEX(INDIRECT(R$7&amp;VLOOKUP(Summary,Ref!$Y$13:$AC$18,3,FALSE)),MATCH($P36,INDIRECT(R$7&amp;VLOOKUP(Summary,Ref!$Y$13:$AC$18,4,FALSE)),0),MATCH(R$8,INDIRECT(R$7&amp;VLOOKUP(Summary,Ref!$Y$13:$AC$18,5,FALSE)),0)),0),0))</f>
        <v/>
      </c>
      <c r="S36" s="133" t="str">
        <f t="shared" ref="S36" ca="1" si="402">IF($O36="","",VLOOKUP($P36,INDIRECT(PTab&amp;"!$B:$EH"),S$5,FALSE))</f>
        <v/>
      </c>
      <c r="T36" s="134" t="str" cm="1">
        <f t="array" aca="1" ref="T36" ca="1">IF($O36="","",VLOOKUP($P36,INDIRECT(PTab&amp;"!$B:$EH"),T$5,FALSE)+IF(AND(PTab="P7",$O36=5),INDEX(INDIRECT(PTab&amp;"!$B$11:$EH$563"),MATCH(6&amp;"|"&amp;1,INDIRECT(PTab&amp;"!$D$11:$D$563")&amp;"|"&amp;INDIRECT(PTab&amp;"!$C$11:$C$563"),0),MATCH("Overlay Credit",INDIRECT(PTab&amp;"!$B$10:$EH$10"),0)),IF(AND(PTab="P2",Ref!$S$53="Y"),AA36,0)))</f>
        <v/>
      </c>
      <c r="U36" s="36" t="str">
        <f t="shared" ref="U36:W36" ca="1" si="403">IF($O36="","",VLOOKUP($P36,INDIRECT(PTab&amp;"!$B:$EH"),U$5,FALSE))</f>
        <v/>
      </c>
      <c r="V36" s="36" t="str">
        <f t="shared" ca="1" si="403"/>
        <v/>
      </c>
      <c r="W36" s="36" t="str">
        <f t="shared" ca="1" si="403"/>
        <v/>
      </c>
      <c r="X36" s="135" t="str">
        <f t="shared" ref="X36" ca="1" si="404">IF(OR($O36="",RIGHT(Category,2)="NY"),"",VLOOKUP($P36,INDIRECT(PTab&amp;"!$B:$EH"),X$5,FALSE))</f>
        <v/>
      </c>
      <c r="Y36" s="36" t="str">
        <f t="shared" ref="Y36" ca="1" si="405">IF($O36="","",VLOOKUP($P36,INDIRECT(PTab&amp;"!$B:$EH"),Y$5,FALSE))</f>
        <v/>
      </c>
      <c r="Z36" s="36" t="str">
        <f t="shared" si="21"/>
        <v/>
      </c>
      <c r="AA36" s="36" t="str">
        <f t="shared" ref="AA36" ca="1" si="406">IF(OR($O36="",RIGHT(Category,2)="NY"),"",VLOOKUP($P36,INDIRECT(PTab&amp;"!$B:$EH"),AA$5,FALSE))</f>
        <v/>
      </c>
      <c r="AB36" s="136"/>
      <c r="AC36" s="36" t="str">
        <f>IF($O36="","",IF(EICRInd="Not Available","Not Available",IF(OR($O36&lt;2,$Q36&lt;WDAge),"Eligibility Criteria Not Met",VLOOKUP(COUNTIFS($AD$11:$AD35,"Yes"),Ref!$AL$58:$AM$63,2))))</f>
        <v/>
      </c>
      <c r="AD36" s="140"/>
      <c r="AE36" s="36" t="str">
        <f t="shared" ref="AE36" ca="1" si="407">IF($O36="","",IFERROR(VLOOKUP(EOMONTH($P36,11),INDIRECT(PTab&amp;"!$B:$EH"),AE$5,FALSE),0))</f>
        <v/>
      </c>
      <c r="AF36" s="36"/>
      <c r="AG36" s="36" t="str">
        <f t="shared" ref="AG36" ca="1" si="408">IF($O36="","",IFERROR(-VLOOKUP(EOMONTH($P36,11),INDIRECT(PTab&amp;"!$B:$EH"),AG$5,FALSE)-IF(OR(RMDInd="Yes",SWInd="Yes"),VLOOKUP(EOMONTH($P36,11),INDIRECT(PTab&amp;"!$B:$EH"),AB$5,FALSE)+AB36*(AB36&lt;&gt;""),0),0))</f>
        <v/>
      </c>
      <c r="AH36" s="36" t="str">
        <f t="shared" ref="AH36" ca="1" si="409">IF($O36="","",IF(RIGHT(Category,2)="NY",IFERROR(-VLOOKUP($P36,INDIRECT(PTab&amp;"!$B:$EH"),AH$5,FALSE),0),IFERROR(VLOOKUP($P36,INDIRECT(PTab&amp;"!$B:$EH"),AH$5,FALSE),0)))</f>
        <v/>
      </c>
      <c r="AI36" s="37" t="str">
        <f t="shared" ref="AI36" si="410">IF($O36="","",IF($O36=0,IF(RIGHT(Category,2)="NY",AH36,SUM(AB36,AG36)),IF(RIGHT(Category,2)="NY",SUM(AH36,AI35),SUM(AB36,AE36*(AD36="Yes"),AG36,AI35))))</f>
        <v/>
      </c>
      <c r="AJ36" s="37" t="str">
        <f t="shared" ref="AJ36" ca="1" si="411">IF($O36="","",VLOOKUP($P36,INDIRECT(PTab&amp;"!$B:$EH"),AJ$5,FALSE))</f>
        <v/>
      </c>
      <c r="AL36" s="135" t="str">
        <f t="shared" ref="AL36" ca="1" si="412">IF($O36="","",IF(OR(PTab="P3",PTab="P7"),VLOOKUP($P36,INDIRECT(PTab&amp;"!$B:$BA"),AL$5,FALSE),VLOOKUP(EOMONTH($P36,11),INDIRECT(PTab&amp;"!$B:$BA"),AL$5,FALSE)))</f>
        <v/>
      </c>
      <c r="AM36" s="41" t="str">
        <f ca="1">IF($O36="","",IF(OR(PTab="P7",Ref!$S$53="Y"),VLOOKUP($P36,INDIRECT(PTab&amp;"!$B:$EH"),AM$5,FALSE),""))</f>
        <v/>
      </c>
      <c r="AN36" s="36" t="str">
        <f t="shared" ref="AN36:AP36" ca="1" si="413">IF($O36="","",IF(PTab="P7",VLOOKUP($P36,INDIRECT(PTab&amp;"!$B:$EH"),AN$5,FALSE),""))</f>
        <v/>
      </c>
      <c r="AO36" s="36" t="str">
        <f t="shared" ca="1" si="413"/>
        <v/>
      </c>
      <c r="AP36" s="36" t="str">
        <f t="shared" ca="1" si="413"/>
        <v/>
      </c>
      <c r="AQ36" s="36" t="str">
        <f t="shared" ref="AQ36" ca="1" si="414">IF($O36="","", IF(PTab="P7",IF($P36=$P$11,0,MAX(AP36-(VLOOKUP($P36,INDIRECT(PTab&amp;"!$B:$EH"),AQ$5,FALSE)-AU36),0)),""))</f>
        <v/>
      </c>
      <c r="AR36" s="41" t="str">
        <f t="shared" ref="AR36:AU36" ca="1" si="415">IF($O36="","",IFERROR(-VLOOKUP($P36,INDIRECT(PTab&amp;"!$B:$EH"),AR$5,FALSE),0))</f>
        <v/>
      </c>
      <c r="AS36" s="36" t="str">
        <f t="shared" ca="1" si="415"/>
        <v/>
      </c>
      <c r="AT36" s="36" t="str">
        <f t="shared" ca="1" si="415"/>
        <v/>
      </c>
      <c r="AU36" s="37" t="str">
        <f t="shared" ca="1" si="415"/>
        <v/>
      </c>
      <c r="BP36" s="94"/>
    </row>
    <row r="37" spans="2:68" x14ac:dyDescent="0.3">
      <c r="B37" s="153" t="s">
        <v>96</v>
      </c>
      <c r="C37" s="156" t="str">
        <f>IF(RIGHT(Category,2)="NY","NY","National")&amp;IF(VLOOKUP(State,Compact,2,FALSE)="Y"," / Compact State","")&amp;IF(VLOOKUP(State,ModReg,4,FALSE)="Y"," / Model Reg State","")</f>
        <v>National / Compact State</v>
      </c>
      <c r="O37" s="131" t="str">
        <f t="shared" ref="O37" si="416">IFERROR(IF(AND(OR(Summary="Favorable",Summary="Unfavorable",Summary="Most Recent"),OR(($O36+1)&gt;10,$O36="")),"",IF(OR(($O36+1)&gt;Projection,$O36=""),"",$O36+1)),"")</f>
        <v/>
      </c>
      <c r="P37" s="132" t="str" cm="1">
        <f t="array" aca="1" ref="P37" ca="1">IF($O37="","",OFFSET(INDIRECT(PTab&amp;"!"&amp;CELL("address",$B$11)),12*$O37,0))</f>
        <v/>
      </c>
      <c r="Q37" s="30" t="str">
        <f t="shared" ref="Q37" ca="1" si="417">IF($O37="","",VLOOKUP($P37,INDIRECT(PTab&amp;"!$B:$EH"),Q$5,FALSE))</f>
        <v/>
      </c>
      <c r="R37" s="133" t="str">
        <f ca="1">IF($O37="","",IF(MOD(O37,LEFT($R$8))=0,IFERROR(INDEX(INDIRECT(R$7&amp;VLOOKUP(Summary,Ref!$Y$13:$AC$18,3,FALSE)),MATCH($P37,INDIRECT(R$7&amp;VLOOKUP(Summary,Ref!$Y$13:$AC$18,4,FALSE)),0),MATCH(R$8,INDIRECT(R$7&amp;VLOOKUP(Summary,Ref!$Y$13:$AC$18,5,FALSE)),0)),0),0))</f>
        <v/>
      </c>
      <c r="S37" s="133" t="str">
        <f t="shared" ref="S37" ca="1" si="418">IF($O37="","",VLOOKUP($P37,INDIRECT(PTab&amp;"!$B:$EH"),S$5,FALSE))</f>
        <v/>
      </c>
      <c r="T37" s="134" t="str" cm="1">
        <f t="array" aca="1" ref="T37" ca="1">IF($O37="","",VLOOKUP($P37,INDIRECT(PTab&amp;"!$B:$EH"),T$5,FALSE)+IF(AND(PTab="P7",$O37=5),INDEX(INDIRECT(PTab&amp;"!$B$11:$EH$563"),MATCH(6&amp;"|"&amp;1,INDIRECT(PTab&amp;"!$D$11:$D$563")&amp;"|"&amp;INDIRECT(PTab&amp;"!$C$11:$C$563"),0),MATCH("Overlay Credit",INDIRECT(PTab&amp;"!$B$10:$EH$10"),0)),IF(AND(PTab="P2",Ref!$S$53="Y"),AA37,0)))</f>
        <v/>
      </c>
      <c r="U37" s="36" t="str">
        <f t="shared" ref="U37:W37" ca="1" si="419">IF($O37="","",VLOOKUP($P37,INDIRECT(PTab&amp;"!$B:$EH"),U$5,FALSE))</f>
        <v/>
      </c>
      <c r="V37" s="36" t="str">
        <f t="shared" ca="1" si="419"/>
        <v/>
      </c>
      <c r="W37" s="36" t="str">
        <f t="shared" ca="1" si="419"/>
        <v/>
      </c>
      <c r="X37" s="135" t="str">
        <f t="shared" ref="X37" ca="1" si="420">IF(OR($O37="",RIGHT(Category,2)="NY"),"",VLOOKUP($P37,INDIRECT(PTab&amp;"!$B:$EH"),X$5,FALSE))</f>
        <v/>
      </c>
      <c r="Y37" s="36" t="str">
        <f t="shared" ref="Y37" ca="1" si="421">IF($O37="","",VLOOKUP($P37,INDIRECT(PTab&amp;"!$B:$EH"),Y$5,FALSE))</f>
        <v/>
      </c>
      <c r="Z37" s="36" t="str">
        <f t="shared" si="21"/>
        <v/>
      </c>
      <c r="AA37" s="36" t="str">
        <f t="shared" ref="AA37" ca="1" si="422">IF(OR($O37="",RIGHT(Category,2)="NY"),"",VLOOKUP($P37,INDIRECT(PTab&amp;"!$B:$EH"),AA$5,FALSE))</f>
        <v/>
      </c>
      <c r="AB37" s="136"/>
      <c r="AC37" s="36" t="str">
        <f>IF($O37="","",IF(EICRInd="Not Available","Not Available",IF(OR($O37&lt;2,$Q37&lt;WDAge),"Eligibility Criteria Not Met",VLOOKUP(COUNTIFS($AD$11:$AD36,"Yes"),Ref!$AL$58:$AM$63,2))))</f>
        <v/>
      </c>
      <c r="AD37" s="140"/>
      <c r="AE37" s="36" t="str">
        <f t="shared" ref="AE37" ca="1" si="423">IF($O37="","",IFERROR(VLOOKUP(EOMONTH($P37,11),INDIRECT(PTab&amp;"!$B:$EH"),AE$5,FALSE),0))</f>
        <v/>
      </c>
      <c r="AF37" s="36"/>
      <c r="AG37" s="36" t="str">
        <f t="shared" ref="AG37" ca="1" si="424">IF($O37="","",IFERROR(-VLOOKUP(EOMONTH($P37,11),INDIRECT(PTab&amp;"!$B:$EH"),AG$5,FALSE)-IF(OR(RMDInd="Yes",SWInd="Yes"),VLOOKUP(EOMONTH($P37,11),INDIRECT(PTab&amp;"!$B:$EH"),AB$5,FALSE)+AB37*(AB37&lt;&gt;""),0),0))</f>
        <v/>
      </c>
      <c r="AH37" s="36" t="str">
        <f t="shared" ref="AH37" ca="1" si="425">IF($O37="","",IF(RIGHT(Category,2)="NY",IFERROR(-VLOOKUP($P37,INDIRECT(PTab&amp;"!$B:$EH"),AH$5,FALSE),0),IFERROR(VLOOKUP($P37,INDIRECT(PTab&amp;"!$B:$EH"),AH$5,FALSE),0)))</f>
        <v/>
      </c>
      <c r="AI37" s="37" t="str">
        <f t="shared" ref="AI37" si="426">IF($O37="","",IF($O37=0,IF(RIGHT(Category,2)="NY",AH37,SUM(AB37,AG37)),IF(RIGHT(Category,2)="NY",SUM(AH37,AI36),SUM(AB37,AE37*(AD37="Yes"),AG37,AI36))))</f>
        <v/>
      </c>
      <c r="AJ37" s="37" t="str">
        <f t="shared" ref="AJ37" ca="1" si="427">IF($O37="","",VLOOKUP($P37,INDIRECT(PTab&amp;"!$B:$EH"),AJ$5,FALSE))</f>
        <v/>
      </c>
      <c r="AL37" s="135" t="str">
        <f t="shared" ref="AL37" ca="1" si="428">IF($O37="","",IF(OR(PTab="P3",PTab="P7"),VLOOKUP($P37,INDIRECT(PTab&amp;"!$B:$BA"),AL$5,FALSE),VLOOKUP(EOMONTH($P37,11),INDIRECT(PTab&amp;"!$B:$BA"),AL$5,FALSE)))</f>
        <v/>
      </c>
      <c r="AM37" s="41" t="str">
        <f ca="1">IF($O37="","",IF(OR(PTab="P7",Ref!$S$53="Y"),VLOOKUP($P37,INDIRECT(PTab&amp;"!$B:$EH"),AM$5,FALSE),""))</f>
        <v/>
      </c>
      <c r="AN37" s="36" t="str">
        <f t="shared" ref="AN37:AP37" ca="1" si="429">IF($O37="","",IF(PTab="P7",VLOOKUP($P37,INDIRECT(PTab&amp;"!$B:$EH"),AN$5,FALSE),""))</f>
        <v/>
      </c>
      <c r="AO37" s="36" t="str">
        <f t="shared" ca="1" si="429"/>
        <v/>
      </c>
      <c r="AP37" s="36" t="str">
        <f t="shared" ca="1" si="429"/>
        <v/>
      </c>
      <c r="AQ37" s="36" t="str">
        <f t="shared" ref="AQ37" ca="1" si="430">IF($O37="","", IF(PTab="P7",IF($P37=$P$11,0,MAX(AP37-(VLOOKUP($P37,INDIRECT(PTab&amp;"!$B:$EH"),AQ$5,FALSE)-AU37),0)),""))</f>
        <v/>
      </c>
      <c r="AR37" s="41" t="str">
        <f t="shared" ref="AR37:AU37" ca="1" si="431">IF($O37="","",IFERROR(-VLOOKUP($P37,INDIRECT(PTab&amp;"!$B:$EH"),AR$5,FALSE),0))</f>
        <v/>
      </c>
      <c r="AS37" s="36" t="str">
        <f t="shared" ca="1" si="431"/>
        <v/>
      </c>
      <c r="AT37" s="36" t="str">
        <f t="shared" ca="1" si="431"/>
        <v/>
      </c>
      <c r="AU37" s="37" t="str">
        <f t="shared" ca="1" si="431"/>
        <v/>
      </c>
      <c r="BP37" s="94"/>
    </row>
    <row r="38" spans="2:68" x14ac:dyDescent="0.3">
      <c r="B38" s="153"/>
      <c r="C38" s="154" t="s">
        <v>97</v>
      </c>
      <c r="O38" s="131" t="str">
        <f t="shared" ref="O38" si="432">IFERROR(IF(AND(OR(Summary="Favorable",Summary="Unfavorable",Summary="Most Recent"),OR(($O37+1)&gt;10,$O37="")),"",IF(OR(($O37+1)&gt;Projection,$O37=""),"",$O37+1)),"")</f>
        <v/>
      </c>
      <c r="P38" s="132" t="str" cm="1">
        <f t="array" aca="1" ref="P38" ca="1">IF($O38="","",OFFSET(INDIRECT(PTab&amp;"!"&amp;CELL("address",$B$11)),12*$O38,0))</f>
        <v/>
      </c>
      <c r="Q38" s="30" t="str">
        <f t="shared" ref="Q38" ca="1" si="433">IF($O38="","",VLOOKUP($P38,INDIRECT(PTab&amp;"!$B:$EH"),Q$5,FALSE))</f>
        <v/>
      </c>
      <c r="R38" s="133" t="str">
        <f ca="1">IF($O38="","",IF(MOD(O38,LEFT($R$8))=0,IFERROR(INDEX(INDIRECT(R$7&amp;VLOOKUP(Summary,Ref!$Y$13:$AC$18,3,FALSE)),MATCH($P38,INDIRECT(R$7&amp;VLOOKUP(Summary,Ref!$Y$13:$AC$18,4,FALSE)),0),MATCH(R$8,INDIRECT(R$7&amp;VLOOKUP(Summary,Ref!$Y$13:$AC$18,5,FALSE)),0)),0),0))</f>
        <v/>
      </c>
      <c r="S38" s="133" t="str">
        <f t="shared" ref="S38" ca="1" si="434">IF($O38="","",VLOOKUP($P38,INDIRECT(PTab&amp;"!$B:$EH"),S$5,FALSE))</f>
        <v/>
      </c>
      <c r="T38" s="134" t="str" cm="1">
        <f t="array" aca="1" ref="T38" ca="1">IF($O38="","",VLOOKUP($P38,INDIRECT(PTab&amp;"!$B:$EH"),T$5,FALSE)+IF(AND(PTab="P7",$O38=5),INDEX(INDIRECT(PTab&amp;"!$B$11:$EH$563"),MATCH(6&amp;"|"&amp;1,INDIRECT(PTab&amp;"!$D$11:$D$563")&amp;"|"&amp;INDIRECT(PTab&amp;"!$C$11:$C$563"),0),MATCH("Overlay Credit",INDIRECT(PTab&amp;"!$B$10:$EH$10"),0)),IF(AND(PTab="P2",Ref!$S$53="Y"),AA38,0)))</f>
        <v/>
      </c>
      <c r="U38" s="36" t="str">
        <f t="shared" ref="U38:W38" ca="1" si="435">IF($O38="","",VLOOKUP($P38,INDIRECT(PTab&amp;"!$B:$EH"),U$5,FALSE))</f>
        <v/>
      </c>
      <c r="V38" s="36" t="str">
        <f t="shared" ca="1" si="435"/>
        <v/>
      </c>
      <c r="W38" s="36" t="str">
        <f t="shared" ca="1" si="435"/>
        <v/>
      </c>
      <c r="X38" s="135" t="str">
        <f t="shared" ref="X38" ca="1" si="436">IF(OR($O38="",RIGHT(Category,2)="NY"),"",VLOOKUP($P38,INDIRECT(PTab&amp;"!$B:$EH"),X$5,FALSE))</f>
        <v/>
      </c>
      <c r="Y38" s="36" t="str">
        <f t="shared" ref="Y38" ca="1" si="437">IF($O38="","",VLOOKUP($P38,INDIRECT(PTab&amp;"!$B:$EH"),Y$5,FALSE))</f>
        <v/>
      </c>
      <c r="Z38" s="36" t="str">
        <f t="shared" si="21"/>
        <v/>
      </c>
      <c r="AA38" s="36" t="str">
        <f t="shared" ref="AA38" ca="1" si="438">IF(OR($O38="",RIGHT(Category,2)="NY"),"",VLOOKUP($P38,INDIRECT(PTab&amp;"!$B:$EH"),AA$5,FALSE))</f>
        <v/>
      </c>
      <c r="AB38" s="136"/>
      <c r="AC38" s="36" t="str">
        <f>IF($O38="","",IF(EICRInd="Not Available","Not Available",IF(OR($O38&lt;2,$Q38&lt;WDAge),"Eligibility Criteria Not Met",VLOOKUP(COUNTIFS($AD$11:$AD37,"Yes"),Ref!$AL$58:$AM$63,2))))</f>
        <v/>
      </c>
      <c r="AD38" s="140"/>
      <c r="AE38" s="36" t="str">
        <f t="shared" ref="AE38" ca="1" si="439">IF($O38="","",IFERROR(VLOOKUP(EOMONTH($P38,11),INDIRECT(PTab&amp;"!$B:$EH"),AE$5,FALSE),0))</f>
        <v/>
      </c>
      <c r="AF38" s="36"/>
      <c r="AG38" s="36" t="str">
        <f t="shared" ref="AG38" ca="1" si="440">IF($O38="","",IFERROR(-VLOOKUP(EOMONTH($P38,11),INDIRECT(PTab&amp;"!$B:$EH"),AG$5,FALSE)-IF(OR(RMDInd="Yes",SWInd="Yes"),VLOOKUP(EOMONTH($P38,11),INDIRECT(PTab&amp;"!$B:$EH"),AB$5,FALSE)+AB38*(AB38&lt;&gt;""),0),0))</f>
        <v/>
      </c>
      <c r="AH38" s="36" t="str">
        <f t="shared" ref="AH38" ca="1" si="441">IF($O38="","",IF(RIGHT(Category,2)="NY",IFERROR(-VLOOKUP($P38,INDIRECT(PTab&amp;"!$B:$EH"),AH$5,FALSE),0),IFERROR(VLOOKUP($P38,INDIRECT(PTab&amp;"!$B:$EH"),AH$5,FALSE),0)))</f>
        <v/>
      </c>
      <c r="AI38" s="37" t="str">
        <f t="shared" ref="AI38" si="442">IF($O38="","",IF($O38=0,IF(RIGHT(Category,2)="NY",AH38,SUM(AB38,AG38)),IF(RIGHT(Category,2)="NY",SUM(AH38,AI37),SUM(AB38,AE38*(AD38="Yes"),AG38,AI37))))</f>
        <v/>
      </c>
      <c r="AJ38" s="37" t="str">
        <f t="shared" ref="AJ38" ca="1" si="443">IF($O38="","",VLOOKUP($P38,INDIRECT(PTab&amp;"!$B:$EH"),AJ$5,FALSE))</f>
        <v/>
      </c>
      <c r="AL38" s="135" t="str">
        <f t="shared" ref="AL38" ca="1" si="444">IF($O38="","",IF(OR(PTab="P3",PTab="P7"),VLOOKUP($P38,INDIRECT(PTab&amp;"!$B:$BA"),AL$5,FALSE),VLOOKUP(EOMONTH($P38,11),INDIRECT(PTab&amp;"!$B:$BA"),AL$5,FALSE)))</f>
        <v/>
      </c>
      <c r="AM38" s="41" t="str">
        <f ca="1">IF($O38="","",IF(OR(PTab="P7",Ref!$S$53="Y"),VLOOKUP($P38,INDIRECT(PTab&amp;"!$B:$EH"),AM$5,FALSE),""))</f>
        <v/>
      </c>
      <c r="AN38" s="36" t="str">
        <f t="shared" ref="AN38:AP38" ca="1" si="445">IF($O38="","",IF(PTab="P7",VLOOKUP($P38,INDIRECT(PTab&amp;"!$B:$EH"),AN$5,FALSE),""))</f>
        <v/>
      </c>
      <c r="AO38" s="36" t="str">
        <f t="shared" ca="1" si="445"/>
        <v/>
      </c>
      <c r="AP38" s="36" t="str">
        <f t="shared" ca="1" si="445"/>
        <v/>
      </c>
      <c r="AQ38" s="36" t="str">
        <f t="shared" ref="AQ38" ca="1" si="446">IF($O38="","", IF(PTab="P7",IF($P38=$P$11,0,MAX(AP38-(VLOOKUP($P38,INDIRECT(PTab&amp;"!$B:$EH"),AQ$5,FALSE)-AU38),0)),""))</f>
        <v/>
      </c>
      <c r="AR38" s="41" t="str">
        <f t="shared" ref="AR38:AU38" ca="1" si="447">IF($O38="","",IFERROR(-VLOOKUP($P38,INDIRECT(PTab&amp;"!$B:$EH"),AR$5,FALSE),0))</f>
        <v/>
      </c>
      <c r="AS38" s="36" t="str">
        <f t="shared" ca="1" si="447"/>
        <v/>
      </c>
      <c r="AT38" s="36" t="str">
        <f t="shared" ca="1" si="447"/>
        <v/>
      </c>
      <c r="AU38" s="37" t="str">
        <f t="shared" ca="1" si="447"/>
        <v/>
      </c>
      <c r="BP38" s="94"/>
    </row>
    <row r="39" spans="2:68" x14ac:dyDescent="0.3">
      <c r="B39" s="153" t="s">
        <v>31</v>
      </c>
      <c r="C39" s="154" t="s">
        <v>98</v>
      </c>
      <c r="O39" s="131" t="str">
        <f t="shared" ref="O39" si="448">IFERROR(IF(AND(OR(Summary="Favorable",Summary="Unfavorable",Summary="Most Recent"),OR(($O38+1)&gt;10,$O38="")),"",IF(OR(($O38+1)&gt;Projection,$O38=""),"",$O38+1)),"")</f>
        <v/>
      </c>
      <c r="P39" s="132" t="str" cm="1">
        <f t="array" aca="1" ref="P39" ca="1">IF($O39="","",OFFSET(INDIRECT(PTab&amp;"!"&amp;CELL("address",$B$11)),12*$O39,0))</f>
        <v/>
      </c>
      <c r="Q39" s="30" t="str">
        <f t="shared" ref="Q39" ca="1" si="449">IF($O39="","",VLOOKUP($P39,INDIRECT(PTab&amp;"!$B:$EH"),Q$5,FALSE))</f>
        <v/>
      </c>
      <c r="R39" s="133" t="str">
        <f ca="1">IF($O39="","",IF(MOD(O39,LEFT($R$8))=0,IFERROR(INDEX(INDIRECT(R$7&amp;VLOOKUP(Summary,Ref!$Y$13:$AC$18,3,FALSE)),MATCH($P39,INDIRECT(R$7&amp;VLOOKUP(Summary,Ref!$Y$13:$AC$18,4,FALSE)),0),MATCH(R$8,INDIRECT(R$7&amp;VLOOKUP(Summary,Ref!$Y$13:$AC$18,5,FALSE)),0)),0),0))</f>
        <v/>
      </c>
      <c r="S39" s="133" t="str">
        <f t="shared" ref="S39" ca="1" si="450">IF($O39="","",VLOOKUP($P39,INDIRECT(PTab&amp;"!$B:$EH"),S$5,FALSE))</f>
        <v/>
      </c>
      <c r="T39" s="134" t="str" cm="1">
        <f t="array" aca="1" ref="T39" ca="1">IF($O39="","",VLOOKUP($P39,INDIRECT(PTab&amp;"!$B:$EH"),T$5,FALSE)+IF(AND(PTab="P7",$O39=5),INDEX(INDIRECT(PTab&amp;"!$B$11:$EH$563"),MATCH(6&amp;"|"&amp;1,INDIRECT(PTab&amp;"!$D$11:$D$563")&amp;"|"&amp;INDIRECT(PTab&amp;"!$C$11:$C$563"),0),MATCH("Overlay Credit",INDIRECT(PTab&amp;"!$B$10:$EH$10"),0)),IF(AND(PTab="P2",Ref!$S$53="Y"),AA39,0)))</f>
        <v/>
      </c>
      <c r="U39" s="36" t="str">
        <f t="shared" ref="U39:W39" ca="1" si="451">IF($O39="","",VLOOKUP($P39,INDIRECT(PTab&amp;"!$B:$EH"),U$5,FALSE))</f>
        <v/>
      </c>
      <c r="V39" s="36" t="str">
        <f t="shared" ca="1" si="451"/>
        <v/>
      </c>
      <c r="W39" s="36" t="str">
        <f t="shared" ca="1" si="451"/>
        <v/>
      </c>
      <c r="X39" s="135" t="str">
        <f t="shared" ref="X39" ca="1" si="452">IF(OR($O39="",RIGHT(Category,2)="NY"),"",VLOOKUP($P39,INDIRECT(PTab&amp;"!$B:$EH"),X$5,FALSE))</f>
        <v/>
      </c>
      <c r="Y39" s="36" t="str">
        <f t="shared" ref="Y39" ca="1" si="453">IF($O39="","",VLOOKUP($P39,INDIRECT(PTab&amp;"!$B:$EH"),Y$5,FALSE))</f>
        <v/>
      </c>
      <c r="Z39" s="36" t="str">
        <f t="shared" si="21"/>
        <v/>
      </c>
      <c r="AA39" s="36" t="str">
        <f t="shared" ref="AA39" ca="1" si="454">IF(OR($O39="",RIGHT(Category,2)="NY"),"",VLOOKUP($P39,INDIRECT(PTab&amp;"!$B:$EH"),AA$5,FALSE))</f>
        <v/>
      </c>
      <c r="AB39" s="136"/>
      <c r="AC39" s="36" t="str">
        <f>IF($O39="","",IF(EICRInd="Not Available","Not Available",IF(OR($O39&lt;2,$Q39&lt;WDAge),"Eligibility Criteria Not Met",VLOOKUP(COUNTIFS($AD$11:$AD38,"Yes"),Ref!$AL$58:$AM$63,2))))</f>
        <v/>
      </c>
      <c r="AD39" s="140"/>
      <c r="AE39" s="36" t="str">
        <f t="shared" ref="AE39" ca="1" si="455">IF($O39="","",IFERROR(VLOOKUP(EOMONTH($P39,11),INDIRECT(PTab&amp;"!$B:$EH"),AE$5,FALSE),0))</f>
        <v/>
      </c>
      <c r="AF39" s="36"/>
      <c r="AG39" s="36" t="str">
        <f t="shared" ref="AG39" ca="1" si="456">IF($O39="","",IFERROR(-VLOOKUP(EOMONTH($P39,11),INDIRECT(PTab&amp;"!$B:$EH"),AG$5,FALSE)-IF(OR(RMDInd="Yes",SWInd="Yes"),VLOOKUP(EOMONTH($P39,11),INDIRECT(PTab&amp;"!$B:$EH"),AB$5,FALSE)+AB39*(AB39&lt;&gt;""),0),0))</f>
        <v/>
      </c>
      <c r="AH39" s="36" t="str">
        <f t="shared" ref="AH39" ca="1" si="457">IF($O39="","",IF(RIGHT(Category,2)="NY",IFERROR(-VLOOKUP($P39,INDIRECT(PTab&amp;"!$B:$EH"),AH$5,FALSE),0),IFERROR(VLOOKUP($P39,INDIRECT(PTab&amp;"!$B:$EH"),AH$5,FALSE),0)))</f>
        <v/>
      </c>
      <c r="AI39" s="37" t="str">
        <f t="shared" ref="AI39" si="458">IF($O39="","",IF($O39=0,IF(RIGHT(Category,2)="NY",AH39,SUM(AB39,AG39)),IF(RIGHT(Category,2)="NY",SUM(AH39,AI38),SUM(AB39,AE39*(AD39="Yes"),AG39,AI38))))</f>
        <v/>
      </c>
      <c r="AJ39" s="37" t="str">
        <f t="shared" ref="AJ39" ca="1" si="459">IF($O39="","",VLOOKUP($P39,INDIRECT(PTab&amp;"!$B:$EH"),AJ$5,FALSE))</f>
        <v/>
      </c>
      <c r="AL39" s="135" t="str">
        <f t="shared" ref="AL39" ca="1" si="460">IF($O39="","",IF(OR(PTab="P3",PTab="P7"),VLOOKUP($P39,INDIRECT(PTab&amp;"!$B:$BA"),AL$5,FALSE),VLOOKUP(EOMONTH($P39,11),INDIRECT(PTab&amp;"!$B:$BA"),AL$5,FALSE)))</f>
        <v/>
      </c>
      <c r="AM39" s="41" t="str">
        <f ca="1">IF($O39="","",IF(OR(PTab="P7",Ref!$S$53="Y"),VLOOKUP($P39,INDIRECT(PTab&amp;"!$B:$EH"),AM$5,FALSE),""))</f>
        <v/>
      </c>
      <c r="AN39" s="36" t="str">
        <f t="shared" ref="AN39:AP39" ca="1" si="461">IF($O39="","",IF(PTab="P7",VLOOKUP($P39,INDIRECT(PTab&amp;"!$B:$EH"),AN$5,FALSE),""))</f>
        <v/>
      </c>
      <c r="AO39" s="36" t="str">
        <f t="shared" ca="1" si="461"/>
        <v/>
      </c>
      <c r="AP39" s="36" t="str">
        <f t="shared" ca="1" si="461"/>
        <v/>
      </c>
      <c r="AQ39" s="36" t="str">
        <f t="shared" ref="AQ39" ca="1" si="462">IF($O39="","", IF(PTab="P7",IF($P39=$P$11,0,MAX(AP39-(VLOOKUP($P39,INDIRECT(PTab&amp;"!$B:$EH"),AQ$5,FALSE)-AU39),0)),""))</f>
        <v/>
      </c>
      <c r="AR39" s="41" t="str">
        <f t="shared" ref="AR39:AU39" ca="1" si="463">IF($O39="","",IFERROR(-VLOOKUP($P39,INDIRECT(PTab&amp;"!$B:$EH"),AR$5,FALSE),0))</f>
        <v/>
      </c>
      <c r="AS39" s="36" t="str">
        <f t="shared" ca="1" si="463"/>
        <v/>
      </c>
      <c r="AT39" s="36" t="str">
        <f t="shared" ca="1" si="463"/>
        <v/>
      </c>
      <c r="AU39" s="37" t="str">
        <f t="shared" ca="1" si="463"/>
        <v/>
      </c>
    </row>
    <row r="40" spans="2:68" x14ac:dyDescent="0.3">
      <c r="B40" s="157" t="s">
        <v>20</v>
      </c>
      <c r="C40" s="158" t="s">
        <v>99</v>
      </c>
      <c r="O40" s="131" t="str">
        <f t="shared" ref="O40" si="464">IFERROR(IF(AND(OR(Summary="Favorable",Summary="Unfavorable",Summary="Most Recent"),OR(($O39+1)&gt;10,$O39="")),"",IF(OR(($O39+1)&gt;Projection,$O39=""),"",$O39+1)),"")</f>
        <v/>
      </c>
      <c r="P40" s="132" t="str" cm="1">
        <f t="array" aca="1" ref="P40" ca="1">IF($O40="","",OFFSET(INDIRECT(PTab&amp;"!"&amp;CELL("address",$B$11)),12*$O40,0))</f>
        <v/>
      </c>
      <c r="Q40" s="30" t="str">
        <f t="shared" ref="Q40" ca="1" si="465">IF($O40="","",VLOOKUP($P40,INDIRECT(PTab&amp;"!$B:$EH"),Q$5,FALSE))</f>
        <v/>
      </c>
      <c r="R40" s="133" t="str">
        <f ca="1">IF($O40="","",IF(MOD(O40,LEFT($R$8))=0,IFERROR(INDEX(INDIRECT(R$7&amp;VLOOKUP(Summary,Ref!$Y$13:$AC$18,3,FALSE)),MATCH($P40,INDIRECT(R$7&amp;VLOOKUP(Summary,Ref!$Y$13:$AC$18,4,FALSE)),0),MATCH(R$8,INDIRECT(R$7&amp;VLOOKUP(Summary,Ref!$Y$13:$AC$18,5,FALSE)),0)),0),0))</f>
        <v/>
      </c>
      <c r="S40" s="133" t="str">
        <f t="shared" ref="S40" ca="1" si="466">IF($O40="","",VLOOKUP($P40,INDIRECT(PTab&amp;"!$B:$EH"),S$5,FALSE))</f>
        <v/>
      </c>
      <c r="T40" s="134" t="str" cm="1">
        <f t="array" aca="1" ref="T40" ca="1">IF($O40="","",VLOOKUP($P40,INDIRECT(PTab&amp;"!$B:$EH"),T$5,FALSE)+IF(AND(PTab="P7",$O40=5),INDEX(INDIRECT(PTab&amp;"!$B$11:$EH$563"),MATCH(6&amp;"|"&amp;1,INDIRECT(PTab&amp;"!$D$11:$D$563")&amp;"|"&amp;INDIRECT(PTab&amp;"!$C$11:$C$563"),0),MATCH("Overlay Credit",INDIRECT(PTab&amp;"!$B$10:$EH$10"),0)),IF(AND(PTab="P2",Ref!$S$53="Y"),AA40,0)))</f>
        <v/>
      </c>
      <c r="U40" s="36" t="str">
        <f t="shared" ref="U40:W40" ca="1" si="467">IF($O40="","",VLOOKUP($P40,INDIRECT(PTab&amp;"!$B:$EH"),U$5,FALSE))</f>
        <v/>
      </c>
      <c r="V40" s="36" t="str">
        <f t="shared" ca="1" si="467"/>
        <v/>
      </c>
      <c r="W40" s="36" t="str">
        <f t="shared" ca="1" si="467"/>
        <v/>
      </c>
      <c r="X40" s="135" t="str">
        <f t="shared" ref="X40" ca="1" si="468">IF(OR($O40="",RIGHT(Category,2)="NY"),"",VLOOKUP($P40,INDIRECT(PTab&amp;"!$B:$EH"),X$5,FALSE))</f>
        <v/>
      </c>
      <c r="Y40" s="36" t="str">
        <f t="shared" ref="Y40" ca="1" si="469">IF($O40="","",VLOOKUP($P40,INDIRECT(PTab&amp;"!$B:$EH"),Y$5,FALSE))</f>
        <v/>
      </c>
      <c r="Z40" s="36" t="str">
        <f t="shared" si="21"/>
        <v/>
      </c>
      <c r="AA40" s="36" t="str">
        <f t="shared" ref="AA40" ca="1" si="470">IF(OR($O40="",RIGHT(Category,2)="NY"),"",VLOOKUP($P40,INDIRECT(PTab&amp;"!$B:$EH"),AA$5,FALSE))</f>
        <v/>
      </c>
      <c r="AB40" s="136"/>
      <c r="AC40" s="36" t="str">
        <f>IF($O40="","",IF(EICRInd="Not Available","Not Available",IF(OR($O40&lt;2,$Q40&lt;WDAge),"Eligibility Criteria Not Met",VLOOKUP(COUNTIFS($AD$11:$AD39,"Yes"),Ref!$AL$58:$AM$63,2))))</f>
        <v/>
      </c>
      <c r="AD40" s="140"/>
      <c r="AE40" s="36" t="str">
        <f t="shared" ref="AE40" ca="1" si="471">IF($O40="","",IFERROR(VLOOKUP(EOMONTH($P40,11),INDIRECT(PTab&amp;"!$B:$EH"),AE$5,FALSE),0))</f>
        <v/>
      </c>
      <c r="AF40" s="36"/>
      <c r="AG40" s="36" t="str">
        <f t="shared" ref="AG40" ca="1" si="472">IF($O40="","",IFERROR(-VLOOKUP(EOMONTH($P40,11),INDIRECT(PTab&amp;"!$B:$EH"),AG$5,FALSE)-IF(OR(RMDInd="Yes",SWInd="Yes"),VLOOKUP(EOMONTH($P40,11),INDIRECT(PTab&amp;"!$B:$EH"),AB$5,FALSE)+AB40*(AB40&lt;&gt;""),0),0))</f>
        <v/>
      </c>
      <c r="AH40" s="36" t="str">
        <f t="shared" ref="AH40" ca="1" si="473">IF($O40="","",IF(RIGHT(Category,2)="NY",IFERROR(-VLOOKUP($P40,INDIRECT(PTab&amp;"!$B:$EH"),AH$5,FALSE),0),IFERROR(VLOOKUP($P40,INDIRECT(PTab&amp;"!$B:$EH"),AH$5,FALSE),0)))</f>
        <v/>
      </c>
      <c r="AI40" s="37" t="str">
        <f t="shared" ref="AI40" si="474">IF($O40="","",IF($O40=0,IF(RIGHT(Category,2)="NY",AH40,SUM(AB40,AG40)),IF(RIGHT(Category,2)="NY",SUM(AH40,AI39),SUM(AB40,AE40*(AD40="Yes"),AG40,AI39))))</f>
        <v/>
      </c>
      <c r="AJ40" s="37" t="str">
        <f t="shared" ref="AJ40" ca="1" si="475">IF($O40="","",VLOOKUP($P40,INDIRECT(PTab&amp;"!$B:$EH"),AJ$5,FALSE))</f>
        <v/>
      </c>
      <c r="AL40" s="135" t="str">
        <f t="shared" ref="AL40" ca="1" si="476">IF($O40="","",IF(OR(PTab="P3",PTab="P7"),VLOOKUP($P40,INDIRECT(PTab&amp;"!$B:$BA"),AL$5,FALSE),VLOOKUP(EOMONTH($P40,11),INDIRECT(PTab&amp;"!$B:$BA"),AL$5,FALSE)))</f>
        <v/>
      </c>
      <c r="AM40" s="41" t="str">
        <f ca="1">IF($O40="","",IF(OR(PTab="P7",Ref!$S$53="Y"),VLOOKUP($P40,INDIRECT(PTab&amp;"!$B:$EH"),AM$5,FALSE),""))</f>
        <v/>
      </c>
      <c r="AN40" s="36" t="str">
        <f t="shared" ref="AN40:AP40" ca="1" si="477">IF($O40="","",IF(PTab="P7",VLOOKUP($P40,INDIRECT(PTab&amp;"!$B:$EH"),AN$5,FALSE),""))</f>
        <v/>
      </c>
      <c r="AO40" s="36" t="str">
        <f t="shared" ca="1" si="477"/>
        <v/>
      </c>
      <c r="AP40" s="36" t="str">
        <f t="shared" ca="1" si="477"/>
        <v/>
      </c>
      <c r="AQ40" s="36" t="str">
        <f t="shared" ref="AQ40" ca="1" si="478">IF($O40="","", IF(PTab="P7",IF($P40=$P$11,0,MAX(AP40-(VLOOKUP($P40,INDIRECT(PTab&amp;"!$B:$EH"),AQ$5,FALSE)-AU40),0)),""))</f>
        <v/>
      </c>
      <c r="AR40" s="41" t="str">
        <f t="shared" ref="AR40:AU40" ca="1" si="479">IF($O40="","",IFERROR(-VLOOKUP($P40,INDIRECT(PTab&amp;"!$B:$EH"),AR$5,FALSE),0))</f>
        <v/>
      </c>
      <c r="AS40" s="36" t="str">
        <f t="shared" ca="1" si="479"/>
        <v/>
      </c>
      <c r="AT40" s="36" t="str">
        <f t="shared" ca="1" si="479"/>
        <v/>
      </c>
      <c r="AU40" s="37" t="str">
        <f t="shared" ca="1" si="479"/>
        <v/>
      </c>
    </row>
    <row r="41" spans="2:68" x14ac:dyDescent="0.3">
      <c r="O41" s="131" t="str">
        <f t="shared" ref="O41" si="480">IFERROR(IF(AND(OR(Summary="Favorable",Summary="Unfavorable",Summary="Most Recent"),OR(($O40+1)&gt;10,$O40="")),"",IF(OR(($O40+1)&gt;Projection,$O40=""),"",$O40+1)),"")</f>
        <v/>
      </c>
      <c r="P41" s="132" t="str" cm="1">
        <f t="array" aca="1" ref="P41" ca="1">IF($O41="","",OFFSET(INDIRECT(PTab&amp;"!"&amp;CELL("address",$B$11)),12*$O41,0))</f>
        <v/>
      </c>
      <c r="Q41" s="30" t="str">
        <f t="shared" ref="Q41" ca="1" si="481">IF($O41="","",VLOOKUP($P41,INDIRECT(PTab&amp;"!$B:$EH"),Q$5,FALSE))</f>
        <v/>
      </c>
      <c r="R41" s="133" t="str">
        <f ca="1">IF($O41="","",IF(MOD(O41,LEFT($R$8))=0,IFERROR(INDEX(INDIRECT(R$7&amp;VLOOKUP(Summary,Ref!$Y$13:$AC$18,3,FALSE)),MATCH($P41,INDIRECT(R$7&amp;VLOOKUP(Summary,Ref!$Y$13:$AC$18,4,FALSE)),0),MATCH(R$8,INDIRECT(R$7&amp;VLOOKUP(Summary,Ref!$Y$13:$AC$18,5,FALSE)),0)),0),0))</f>
        <v/>
      </c>
      <c r="S41" s="133" t="str">
        <f t="shared" ref="S41" ca="1" si="482">IF($O41="","",VLOOKUP($P41,INDIRECT(PTab&amp;"!$B:$EH"),S$5,FALSE))</f>
        <v/>
      </c>
      <c r="T41" s="134" t="str" cm="1">
        <f t="array" aca="1" ref="T41" ca="1">IF($O41="","",VLOOKUP($P41,INDIRECT(PTab&amp;"!$B:$EH"),T$5,FALSE)+IF(AND(PTab="P7",$O41=5),INDEX(INDIRECT(PTab&amp;"!$B$11:$EH$563"),MATCH(6&amp;"|"&amp;1,INDIRECT(PTab&amp;"!$D$11:$D$563")&amp;"|"&amp;INDIRECT(PTab&amp;"!$C$11:$C$563"),0),MATCH("Overlay Credit",INDIRECT(PTab&amp;"!$B$10:$EH$10"),0)),IF(AND(PTab="P2",Ref!$S$53="Y"),AA41,0)))</f>
        <v/>
      </c>
      <c r="U41" s="36" t="str">
        <f t="shared" ref="U41:W41" ca="1" si="483">IF($O41="","",VLOOKUP($P41,INDIRECT(PTab&amp;"!$B:$EH"),U$5,FALSE))</f>
        <v/>
      </c>
      <c r="V41" s="36" t="str">
        <f t="shared" ca="1" si="483"/>
        <v/>
      </c>
      <c r="W41" s="36" t="str">
        <f t="shared" ca="1" si="483"/>
        <v/>
      </c>
      <c r="X41" s="135" t="str">
        <f t="shared" ref="X41" ca="1" si="484">IF(OR($O41="",RIGHT(Category,2)="NY"),"",VLOOKUP($P41,INDIRECT(PTab&amp;"!$B:$EH"),X$5,FALSE))</f>
        <v/>
      </c>
      <c r="Y41" s="36" t="str">
        <f t="shared" ref="Y41" ca="1" si="485">IF($O41="","",VLOOKUP($P41,INDIRECT(PTab&amp;"!$B:$EH"),Y$5,FALSE))</f>
        <v/>
      </c>
      <c r="Z41" s="36" t="str">
        <f t="shared" si="21"/>
        <v/>
      </c>
      <c r="AA41" s="36" t="str">
        <f t="shared" ref="AA41" ca="1" si="486">IF(OR($O41="",RIGHT(Category,2)="NY"),"",VLOOKUP($P41,INDIRECT(PTab&amp;"!$B:$EH"),AA$5,FALSE))</f>
        <v/>
      </c>
      <c r="AB41" s="136"/>
      <c r="AC41" s="36" t="str">
        <f>IF($O41="","",IF(EICRInd="Not Available","Not Available",IF(OR($O41&lt;2,$Q41&lt;WDAge),"Eligibility Criteria Not Met",VLOOKUP(COUNTIFS($AD$11:$AD40,"Yes"),Ref!$AL$58:$AM$63,2))))</f>
        <v/>
      </c>
      <c r="AD41" s="140"/>
      <c r="AE41" s="36" t="str">
        <f t="shared" ref="AE41" ca="1" si="487">IF($O41="","",IFERROR(VLOOKUP(EOMONTH($P41,11),INDIRECT(PTab&amp;"!$B:$EH"),AE$5,FALSE),0))</f>
        <v/>
      </c>
      <c r="AF41" s="36"/>
      <c r="AG41" s="36" t="str">
        <f t="shared" ref="AG41" ca="1" si="488">IF($O41="","",IFERROR(-VLOOKUP(EOMONTH($P41,11),INDIRECT(PTab&amp;"!$B:$EH"),AG$5,FALSE)-IF(OR(RMDInd="Yes",SWInd="Yes"),VLOOKUP(EOMONTH($P41,11),INDIRECT(PTab&amp;"!$B:$EH"),AB$5,FALSE)+AB41*(AB41&lt;&gt;""),0),0))</f>
        <v/>
      </c>
      <c r="AH41" s="36" t="str">
        <f t="shared" ref="AH41" ca="1" si="489">IF($O41="","",IF(RIGHT(Category,2)="NY",IFERROR(-VLOOKUP($P41,INDIRECT(PTab&amp;"!$B:$EH"),AH$5,FALSE),0),IFERROR(VLOOKUP($P41,INDIRECT(PTab&amp;"!$B:$EH"),AH$5,FALSE),0)))</f>
        <v/>
      </c>
      <c r="AI41" s="37" t="str">
        <f t="shared" ref="AI41" si="490">IF($O41="","",IF($O41=0,IF(RIGHT(Category,2)="NY",AH41,SUM(AB41,AG41)),IF(RIGHT(Category,2)="NY",SUM(AH41,AI40),SUM(AB41,AE41*(AD41="Yes"),AG41,AI40))))</f>
        <v/>
      </c>
      <c r="AJ41" s="37" t="str">
        <f t="shared" ref="AJ41" ca="1" si="491">IF($O41="","",VLOOKUP($P41,INDIRECT(PTab&amp;"!$B:$EH"),AJ$5,FALSE))</f>
        <v/>
      </c>
      <c r="AL41" s="135" t="str">
        <f t="shared" ref="AL41" ca="1" si="492">IF($O41="","",IF(OR(PTab="P3",PTab="P7"),VLOOKUP($P41,INDIRECT(PTab&amp;"!$B:$BA"),AL$5,FALSE),VLOOKUP(EOMONTH($P41,11),INDIRECT(PTab&amp;"!$B:$BA"),AL$5,FALSE)))</f>
        <v/>
      </c>
      <c r="AM41" s="41" t="str">
        <f ca="1">IF($O41="","",IF(OR(PTab="P7",Ref!$S$53="Y"),VLOOKUP($P41,INDIRECT(PTab&amp;"!$B:$EH"),AM$5,FALSE),""))</f>
        <v/>
      </c>
      <c r="AN41" s="36" t="str">
        <f t="shared" ref="AN41:AP41" ca="1" si="493">IF($O41="","",IF(PTab="P7",VLOOKUP($P41,INDIRECT(PTab&amp;"!$B:$EH"),AN$5,FALSE),""))</f>
        <v/>
      </c>
      <c r="AO41" s="36" t="str">
        <f t="shared" ca="1" si="493"/>
        <v/>
      </c>
      <c r="AP41" s="36" t="str">
        <f t="shared" ca="1" si="493"/>
        <v/>
      </c>
      <c r="AQ41" s="36" t="str">
        <f t="shared" ref="AQ41" ca="1" si="494">IF($O41="","", IF(PTab="P7",IF($P41=$P$11,0,MAX(AP41-(VLOOKUP($P41,INDIRECT(PTab&amp;"!$B:$EH"),AQ$5,FALSE)-AU41),0)),""))</f>
        <v/>
      </c>
      <c r="AR41" s="41" t="str">
        <f t="shared" ref="AR41:AU41" ca="1" si="495">IF($O41="","",IFERROR(-VLOOKUP($P41,INDIRECT(PTab&amp;"!$B:$EH"),AR$5,FALSE),0))</f>
        <v/>
      </c>
      <c r="AS41" s="36" t="str">
        <f t="shared" ca="1" si="495"/>
        <v/>
      </c>
      <c r="AT41" s="36" t="str">
        <f t="shared" ca="1" si="495"/>
        <v/>
      </c>
      <c r="AU41" s="37" t="str">
        <f t="shared" ca="1" si="495"/>
        <v/>
      </c>
    </row>
    <row r="42" spans="2:68" x14ac:dyDescent="0.3">
      <c r="B42" s="151" t="s">
        <v>100</v>
      </c>
      <c r="C42" s="152" t="s">
        <v>73</v>
      </c>
      <c r="O42" s="131" t="str">
        <f t="shared" ref="O42" si="496">IFERROR(IF(AND(OR(Summary="Favorable",Summary="Unfavorable",Summary="Most Recent"),OR(($O41+1)&gt;10,$O41="")),"",IF(OR(($O41+1)&gt;Projection,$O41=""),"",$O41+1)),"")</f>
        <v/>
      </c>
      <c r="P42" s="132" t="str" cm="1">
        <f t="array" aca="1" ref="P42" ca="1">IF($O42="","",OFFSET(INDIRECT(PTab&amp;"!"&amp;CELL("address",$B$11)),12*$O42,0))</f>
        <v/>
      </c>
      <c r="Q42" s="30" t="str">
        <f t="shared" ref="Q42" ca="1" si="497">IF($O42="","",VLOOKUP($P42,INDIRECT(PTab&amp;"!$B:$EH"),Q$5,FALSE))</f>
        <v/>
      </c>
      <c r="R42" s="133" t="str">
        <f ca="1">IF($O42="","",IF(MOD(O42,LEFT($R$8))=0,IFERROR(INDEX(INDIRECT(R$7&amp;VLOOKUP(Summary,Ref!$Y$13:$AC$18,3,FALSE)),MATCH($P42,INDIRECT(R$7&amp;VLOOKUP(Summary,Ref!$Y$13:$AC$18,4,FALSE)),0),MATCH(R$8,INDIRECT(R$7&amp;VLOOKUP(Summary,Ref!$Y$13:$AC$18,5,FALSE)),0)),0),0))</f>
        <v/>
      </c>
      <c r="S42" s="133" t="str">
        <f t="shared" ref="S42" ca="1" si="498">IF($O42="","",VLOOKUP($P42,INDIRECT(PTab&amp;"!$B:$EH"),S$5,FALSE))</f>
        <v/>
      </c>
      <c r="T42" s="134" t="str" cm="1">
        <f t="array" aca="1" ref="T42" ca="1">IF($O42="","",VLOOKUP($P42,INDIRECT(PTab&amp;"!$B:$EH"),T$5,FALSE)+IF(AND(PTab="P7",$O42=5),INDEX(INDIRECT(PTab&amp;"!$B$11:$EH$563"),MATCH(6&amp;"|"&amp;1,INDIRECT(PTab&amp;"!$D$11:$D$563")&amp;"|"&amp;INDIRECT(PTab&amp;"!$C$11:$C$563"),0),MATCH("Overlay Credit",INDIRECT(PTab&amp;"!$B$10:$EH$10"),0)),IF(AND(PTab="P2",Ref!$S$53="Y"),AA42,0)))</f>
        <v/>
      </c>
      <c r="U42" s="36" t="str">
        <f t="shared" ref="U42:W42" ca="1" si="499">IF($O42="","",VLOOKUP($P42,INDIRECT(PTab&amp;"!$B:$EH"),U$5,FALSE))</f>
        <v/>
      </c>
      <c r="V42" s="36" t="str">
        <f t="shared" ca="1" si="499"/>
        <v/>
      </c>
      <c r="W42" s="36" t="str">
        <f t="shared" ca="1" si="499"/>
        <v/>
      </c>
      <c r="X42" s="135" t="str">
        <f t="shared" ref="X42" ca="1" si="500">IF(OR($O42="",RIGHT(Category,2)="NY"),"",VLOOKUP($P42,INDIRECT(PTab&amp;"!$B:$EH"),X$5,FALSE))</f>
        <v/>
      </c>
      <c r="Y42" s="36" t="str">
        <f t="shared" ref="Y42" ca="1" si="501">IF($O42="","",VLOOKUP($P42,INDIRECT(PTab&amp;"!$B:$EH"),Y$5,FALSE))</f>
        <v/>
      </c>
      <c r="Z42" s="36" t="str">
        <f t="shared" si="21"/>
        <v/>
      </c>
      <c r="AA42" s="36" t="str">
        <f t="shared" ref="AA42" ca="1" si="502">IF(OR($O42="",RIGHT(Category,2)="NY"),"",VLOOKUP($P42,INDIRECT(PTab&amp;"!$B:$EH"),AA$5,FALSE))</f>
        <v/>
      </c>
      <c r="AB42" s="136"/>
      <c r="AC42" s="36" t="str">
        <f>IF($O42="","",IF(EICRInd="Not Available","Not Available",IF(OR($O42&lt;2,$Q42&lt;WDAge),"Eligibility Criteria Not Met",VLOOKUP(COUNTIFS($AD$11:$AD41,"Yes"),Ref!$AL$58:$AM$63,2))))</f>
        <v/>
      </c>
      <c r="AD42" s="140"/>
      <c r="AE42" s="36" t="str">
        <f t="shared" ref="AE42" ca="1" si="503">IF($O42="","",IFERROR(VLOOKUP(EOMONTH($P42,11),INDIRECT(PTab&amp;"!$B:$EH"),AE$5,FALSE),0))</f>
        <v/>
      </c>
      <c r="AF42" s="36"/>
      <c r="AG42" s="36" t="str">
        <f t="shared" ref="AG42" ca="1" si="504">IF($O42="","",IFERROR(-VLOOKUP(EOMONTH($P42,11),INDIRECT(PTab&amp;"!$B:$EH"),AG$5,FALSE)-IF(OR(RMDInd="Yes",SWInd="Yes"),VLOOKUP(EOMONTH($P42,11),INDIRECT(PTab&amp;"!$B:$EH"),AB$5,FALSE)+AB42*(AB42&lt;&gt;""),0),0))</f>
        <v/>
      </c>
      <c r="AH42" s="36" t="str">
        <f t="shared" ref="AH42" ca="1" si="505">IF($O42="","",IF(RIGHT(Category,2)="NY",IFERROR(-VLOOKUP($P42,INDIRECT(PTab&amp;"!$B:$EH"),AH$5,FALSE),0),IFERROR(VLOOKUP($P42,INDIRECT(PTab&amp;"!$B:$EH"),AH$5,FALSE),0)))</f>
        <v/>
      </c>
      <c r="AI42" s="37" t="str">
        <f t="shared" ref="AI42" si="506">IF($O42="","",IF($O42=0,IF(RIGHT(Category,2)="NY",AH42,SUM(AB42,AG42)),IF(RIGHT(Category,2)="NY",SUM(AH42,AI41),SUM(AB42,AE42*(AD42="Yes"),AG42,AI41))))</f>
        <v/>
      </c>
      <c r="AJ42" s="37" t="str">
        <f t="shared" ref="AJ42" ca="1" si="507">IF($O42="","",VLOOKUP($P42,INDIRECT(PTab&amp;"!$B:$EH"),AJ$5,FALSE))</f>
        <v/>
      </c>
      <c r="AL42" s="135" t="str">
        <f t="shared" ref="AL42" ca="1" si="508">IF($O42="","",IF(OR(PTab="P3",PTab="P7"),VLOOKUP($P42,INDIRECT(PTab&amp;"!$B:$BA"),AL$5,FALSE),VLOOKUP(EOMONTH($P42,11),INDIRECT(PTab&amp;"!$B:$BA"),AL$5,FALSE)))</f>
        <v/>
      </c>
      <c r="AM42" s="41" t="str">
        <f ca="1">IF($O42="","",IF(OR(PTab="P7",Ref!$S$53="Y"),VLOOKUP($P42,INDIRECT(PTab&amp;"!$B:$EH"),AM$5,FALSE),""))</f>
        <v/>
      </c>
      <c r="AN42" s="36" t="str">
        <f t="shared" ref="AN42:AP42" ca="1" si="509">IF($O42="","",IF(PTab="P7",VLOOKUP($P42,INDIRECT(PTab&amp;"!$B:$EH"),AN$5,FALSE),""))</f>
        <v/>
      </c>
      <c r="AO42" s="36" t="str">
        <f t="shared" ca="1" si="509"/>
        <v/>
      </c>
      <c r="AP42" s="36" t="str">
        <f t="shared" ca="1" si="509"/>
        <v/>
      </c>
      <c r="AQ42" s="36" t="str">
        <f t="shared" ref="AQ42" ca="1" si="510">IF($O42="","", IF(PTab="P7",IF($P42=$P$11,0,MAX(AP42-(VLOOKUP($P42,INDIRECT(PTab&amp;"!$B:$EH"),AQ$5,FALSE)-AU42),0)),""))</f>
        <v/>
      </c>
      <c r="AR42" s="41" t="str">
        <f t="shared" ref="AR42:AU42" ca="1" si="511">IF($O42="","",IFERROR(-VLOOKUP($P42,INDIRECT(PTab&amp;"!$B:$EH"),AR$5,FALSE),0))</f>
        <v/>
      </c>
      <c r="AS42" s="36" t="str">
        <f t="shared" ca="1" si="511"/>
        <v/>
      </c>
      <c r="AT42" s="36" t="str">
        <f t="shared" ca="1" si="511"/>
        <v/>
      </c>
      <c r="AU42" s="37" t="str">
        <f t="shared" ca="1" si="511"/>
        <v/>
      </c>
    </row>
    <row r="43" spans="2:68" x14ac:dyDescent="0.3">
      <c r="B43" s="153" t="s">
        <v>101</v>
      </c>
      <c r="C43" s="159">
        <f>ROUNDDOWN(VLOOKUP($C$33,Ref!$Y$38:$Z$41,2,FALSE),0)</f>
        <v>72</v>
      </c>
      <c r="O43" s="131" t="str">
        <f t="shared" ref="O43" si="512">IFERROR(IF(AND(OR(Summary="Favorable",Summary="Unfavorable",Summary="Most Recent"),OR(($O42+1)&gt;10,$O42="")),"",IF(OR(($O42+1)&gt;Projection,$O42=""),"",$O42+1)),"")</f>
        <v/>
      </c>
      <c r="P43" s="132" t="str" cm="1">
        <f t="array" aca="1" ref="P43" ca="1">IF($O43="","",OFFSET(INDIRECT(PTab&amp;"!"&amp;CELL("address",$B$11)),12*$O43,0))</f>
        <v/>
      </c>
      <c r="Q43" s="30" t="str">
        <f t="shared" ref="Q43" ca="1" si="513">IF($O43="","",VLOOKUP($P43,INDIRECT(PTab&amp;"!$B:$EH"),Q$5,FALSE))</f>
        <v/>
      </c>
      <c r="R43" s="133" t="str">
        <f ca="1">IF($O43="","",IF(MOD(O43,LEFT($R$8))=0,IFERROR(INDEX(INDIRECT(R$7&amp;VLOOKUP(Summary,Ref!$Y$13:$AC$18,3,FALSE)),MATCH($P43,INDIRECT(R$7&amp;VLOOKUP(Summary,Ref!$Y$13:$AC$18,4,FALSE)),0),MATCH(R$8,INDIRECT(R$7&amp;VLOOKUP(Summary,Ref!$Y$13:$AC$18,5,FALSE)),0)),0),0))</f>
        <v/>
      </c>
      <c r="S43" s="133" t="str">
        <f t="shared" ref="S43" ca="1" si="514">IF($O43="","",VLOOKUP($P43,INDIRECT(PTab&amp;"!$B:$EH"),S$5,FALSE))</f>
        <v/>
      </c>
      <c r="T43" s="134" t="str" cm="1">
        <f t="array" aca="1" ref="T43" ca="1">IF($O43="","",VLOOKUP($P43,INDIRECT(PTab&amp;"!$B:$EH"),T$5,FALSE)+IF(AND(PTab="P7",$O43=5),INDEX(INDIRECT(PTab&amp;"!$B$11:$EH$563"),MATCH(6&amp;"|"&amp;1,INDIRECT(PTab&amp;"!$D$11:$D$563")&amp;"|"&amp;INDIRECT(PTab&amp;"!$C$11:$C$563"),0),MATCH("Overlay Credit",INDIRECT(PTab&amp;"!$B$10:$EH$10"),0)),IF(AND(PTab="P2",Ref!$S$53="Y"),AA43,0)))</f>
        <v/>
      </c>
      <c r="U43" s="36" t="str">
        <f t="shared" ref="U43:W43" ca="1" si="515">IF($O43="","",VLOOKUP($P43,INDIRECT(PTab&amp;"!$B:$EH"),U$5,FALSE))</f>
        <v/>
      </c>
      <c r="V43" s="36" t="str">
        <f t="shared" ca="1" si="515"/>
        <v/>
      </c>
      <c r="W43" s="36" t="str">
        <f t="shared" ca="1" si="515"/>
        <v/>
      </c>
      <c r="X43" s="135" t="str">
        <f t="shared" ref="X43" ca="1" si="516">IF(OR($O43="",RIGHT(Category,2)="NY"),"",VLOOKUP($P43,INDIRECT(PTab&amp;"!$B:$EH"),X$5,FALSE))</f>
        <v/>
      </c>
      <c r="Y43" s="36" t="str">
        <f t="shared" ref="Y43" ca="1" si="517">IF($O43="","",VLOOKUP($P43,INDIRECT(PTab&amp;"!$B:$EH"),Y$5,FALSE))</f>
        <v/>
      </c>
      <c r="Z43" s="36" t="str">
        <f t="shared" si="21"/>
        <v/>
      </c>
      <c r="AA43" s="36" t="str">
        <f t="shared" ref="AA43" ca="1" si="518">IF(OR($O43="",RIGHT(Category,2)="NY"),"",VLOOKUP($P43,INDIRECT(PTab&amp;"!$B:$EH"),AA$5,FALSE))</f>
        <v/>
      </c>
      <c r="AB43" s="136"/>
      <c r="AC43" s="36" t="str">
        <f>IF($O43="","",IF(EICRInd="Not Available","Not Available",IF(OR($O43&lt;2,$Q43&lt;WDAge),"Eligibility Criteria Not Met",VLOOKUP(COUNTIFS($AD$11:$AD42,"Yes"),Ref!$AL$58:$AM$63,2))))</f>
        <v/>
      </c>
      <c r="AD43" s="140"/>
      <c r="AE43" s="36" t="str">
        <f t="shared" ref="AE43" ca="1" si="519">IF($O43="","",IFERROR(VLOOKUP(EOMONTH($P43,11),INDIRECT(PTab&amp;"!$B:$EH"),AE$5,FALSE),0))</f>
        <v/>
      </c>
      <c r="AF43" s="36"/>
      <c r="AG43" s="36" t="str">
        <f t="shared" ref="AG43" ca="1" si="520">IF($O43="","",IFERROR(-VLOOKUP(EOMONTH($P43,11),INDIRECT(PTab&amp;"!$B:$EH"),AG$5,FALSE)-IF(OR(RMDInd="Yes",SWInd="Yes"),VLOOKUP(EOMONTH($P43,11),INDIRECT(PTab&amp;"!$B:$EH"),AB$5,FALSE)+AB43*(AB43&lt;&gt;""),0),0))</f>
        <v/>
      </c>
      <c r="AH43" s="36" t="str">
        <f t="shared" ref="AH43" ca="1" si="521">IF($O43="","",IF(RIGHT(Category,2)="NY",IFERROR(-VLOOKUP($P43,INDIRECT(PTab&amp;"!$B:$EH"),AH$5,FALSE),0),IFERROR(VLOOKUP($P43,INDIRECT(PTab&amp;"!$B:$EH"),AH$5,FALSE),0)))</f>
        <v/>
      </c>
      <c r="AI43" s="37" t="str">
        <f t="shared" ref="AI43" si="522">IF($O43="","",IF($O43=0,IF(RIGHT(Category,2)="NY",AH43,SUM(AB43,AG43)),IF(RIGHT(Category,2)="NY",SUM(AH43,AI42),SUM(AB43,AE43*(AD43="Yes"),AG43,AI42))))</f>
        <v/>
      </c>
      <c r="AJ43" s="37" t="str">
        <f t="shared" ref="AJ43" ca="1" si="523">IF($O43="","",VLOOKUP($P43,INDIRECT(PTab&amp;"!$B:$EH"),AJ$5,FALSE))</f>
        <v/>
      </c>
      <c r="AL43" s="135" t="str">
        <f t="shared" ref="AL43" ca="1" si="524">IF($O43="","",IF(OR(PTab="P3",PTab="P7"),VLOOKUP($P43,INDIRECT(PTab&amp;"!$B:$BA"),AL$5,FALSE),VLOOKUP(EOMONTH($P43,11),INDIRECT(PTab&amp;"!$B:$BA"),AL$5,FALSE)))</f>
        <v/>
      </c>
      <c r="AM43" s="41" t="str">
        <f ca="1">IF($O43="","",IF(OR(PTab="P7",Ref!$S$53="Y"),VLOOKUP($P43,INDIRECT(PTab&amp;"!$B:$EH"),AM$5,FALSE),""))</f>
        <v/>
      </c>
      <c r="AN43" s="36" t="str">
        <f t="shared" ref="AN43:AP43" ca="1" si="525">IF($O43="","",IF(PTab="P7",VLOOKUP($P43,INDIRECT(PTab&amp;"!$B:$EH"),AN$5,FALSE),""))</f>
        <v/>
      </c>
      <c r="AO43" s="36" t="str">
        <f t="shared" ca="1" si="525"/>
        <v/>
      </c>
      <c r="AP43" s="36" t="str">
        <f t="shared" ca="1" si="525"/>
        <v/>
      </c>
      <c r="AQ43" s="36" t="str">
        <f t="shared" ref="AQ43" ca="1" si="526">IF($O43="","", IF(PTab="P7",IF($P43=$P$11,0,MAX(AP43-(VLOOKUP($P43,INDIRECT(PTab&amp;"!$B:$EH"),AQ$5,FALSE)-AU43),0)),""))</f>
        <v/>
      </c>
      <c r="AR43" s="41" t="str">
        <f t="shared" ref="AR43:AU43" ca="1" si="527">IF($O43="","",IFERROR(-VLOOKUP($P43,INDIRECT(PTab&amp;"!$B:$EH"),AR$5,FALSE),0))</f>
        <v/>
      </c>
      <c r="AS43" s="36" t="str">
        <f t="shared" ca="1" si="527"/>
        <v/>
      </c>
      <c r="AT43" s="36" t="str">
        <f t="shared" ca="1" si="527"/>
        <v/>
      </c>
      <c r="AU43" s="37" t="str">
        <f t="shared" ca="1" si="527"/>
        <v/>
      </c>
    </row>
    <row r="44" spans="2:68" x14ac:dyDescent="0.3">
      <c r="B44" s="157" t="s">
        <v>102</v>
      </c>
      <c r="C44" s="160" t="str">
        <f>IF(OR(Election="Single Life",IssAge1-IssAge2&lt;11),"S","J")</f>
        <v>S</v>
      </c>
      <c r="O44" s="131" t="str">
        <f t="shared" ref="O44" si="528">IFERROR(IF(AND(OR(Summary="Favorable",Summary="Unfavorable",Summary="Most Recent"),OR(($O43+1)&gt;10,$O43="")),"",IF(OR(($O43+1)&gt;Projection,$O43=""),"",$O43+1)),"")</f>
        <v/>
      </c>
      <c r="P44" s="132" t="str" cm="1">
        <f t="array" aca="1" ref="P44" ca="1">IF($O44="","",OFFSET(INDIRECT(PTab&amp;"!"&amp;CELL("address",$B$11)),12*$O44,0))</f>
        <v/>
      </c>
      <c r="Q44" s="30" t="str">
        <f t="shared" ref="Q44" ca="1" si="529">IF($O44="","",VLOOKUP($P44,INDIRECT(PTab&amp;"!$B:$EH"),Q$5,FALSE))</f>
        <v/>
      </c>
      <c r="R44" s="133" t="str">
        <f ca="1">IF($O44="","",IF(MOD(O44,LEFT($R$8))=0,IFERROR(INDEX(INDIRECT(R$7&amp;VLOOKUP(Summary,Ref!$Y$13:$AC$18,3,FALSE)),MATCH($P44,INDIRECT(R$7&amp;VLOOKUP(Summary,Ref!$Y$13:$AC$18,4,FALSE)),0),MATCH(R$8,INDIRECT(R$7&amp;VLOOKUP(Summary,Ref!$Y$13:$AC$18,5,FALSE)),0)),0),0))</f>
        <v/>
      </c>
      <c r="S44" s="133" t="str">
        <f t="shared" ref="S44" ca="1" si="530">IF($O44="","",VLOOKUP($P44,INDIRECT(PTab&amp;"!$B:$EH"),S$5,FALSE))</f>
        <v/>
      </c>
      <c r="T44" s="134" t="str" cm="1">
        <f t="array" aca="1" ref="T44" ca="1">IF($O44="","",VLOOKUP($P44,INDIRECT(PTab&amp;"!$B:$EH"),T$5,FALSE)+IF(AND(PTab="P7",$O44=5),INDEX(INDIRECT(PTab&amp;"!$B$11:$EH$563"),MATCH(6&amp;"|"&amp;1,INDIRECT(PTab&amp;"!$D$11:$D$563")&amp;"|"&amp;INDIRECT(PTab&amp;"!$C$11:$C$563"),0),MATCH("Overlay Credit",INDIRECT(PTab&amp;"!$B$10:$EH$10"),0)),IF(AND(PTab="P2",Ref!$S$53="Y"),AA44,0)))</f>
        <v/>
      </c>
      <c r="U44" s="36" t="str">
        <f t="shared" ref="U44:W44" ca="1" si="531">IF($O44="","",VLOOKUP($P44,INDIRECT(PTab&amp;"!$B:$EH"),U$5,FALSE))</f>
        <v/>
      </c>
      <c r="V44" s="36" t="str">
        <f t="shared" ca="1" si="531"/>
        <v/>
      </c>
      <c r="W44" s="36" t="str">
        <f t="shared" ca="1" si="531"/>
        <v/>
      </c>
      <c r="X44" s="135" t="str">
        <f t="shared" ref="X44" ca="1" si="532">IF(OR($O44="",RIGHT(Category,2)="NY"),"",VLOOKUP($P44,INDIRECT(PTab&amp;"!$B:$EH"),X$5,FALSE))</f>
        <v/>
      </c>
      <c r="Y44" s="36" t="str">
        <f t="shared" ref="Y44" ca="1" si="533">IF($O44="","",VLOOKUP($P44,INDIRECT(PTab&amp;"!$B:$EH"),Y$5,FALSE))</f>
        <v/>
      </c>
      <c r="Z44" s="36" t="str">
        <f t="shared" si="21"/>
        <v/>
      </c>
      <c r="AA44" s="36" t="str">
        <f t="shared" ref="AA44" ca="1" si="534">IF(OR($O44="",RIGHT(Category,2)="NY"),"",VLOOKUP($P44,INDIRECT(PTab&amp;"!$B:$EH"),AA$5,FALSE))</f>
        <v/>
      </c>
      <c r="AB44" s="136"/>
      <c r="AC44" s="36" t="str">
        <f>IF($O44="","",IF(EICRInd="Not Available","Not Available",IF(OR($O44&lt;2,$Q44&lt;WDAge),"Eligibility Criteria Not Met",VLOOKUP(COUNTIFS($AD$11:$AD43,"Yes"),Ref!$AL$58:$AM$63,2))))</f>
        <v/>
      </c>
      <c r="AD44" s="140"/>
      <c r="AE44" s="36" t="str">
        <f t="shared" ref="AE44" ca="1" si="535">IF($O44="","",IFERROR(VLOOKUP(EOMONTH($P44,11),INDIRECT(PTab&amp;"!$B:$EH"),AE$5,FALSE),0))</f>
        <v/>
      </c>
      <c r="AF44" s="36"/>
      <c r="AG44" s="36" t="str">
        <f t="shared" ref="AG44" ca="1" si="536">IF($O44="","",IFERROR(-VLOOKUP(EOMONTH($P44,11),INDIRECT(PTab&amp;"!$B:$EH"),AG$5,FALSE)-IF(OR(RMDInd="Yes",SWInd="Yes"),VLOOKUP(EOMONTH($P44,11),INDIRECT(PTab&amp;"!$B:$EH"),AB$5,FALSE)+AB44*(AB44&lt;&gt;""),0),0))</f>
        <v/>
      </c>
      <c r="AH44" s="36" t="str">
        <f t="shared" ref="AH44" ca="1" si="537">IF($O44="","",IF(RIGHT(Category,2)="NY",IFERROR(-VLOOKUP($P44,INDIRECT(PTab&amp;"!$B:$EH"),AH$5,FALSE),0),IFERROR(VLOOKUP($P44,INDIRECT(PTab&amp;"!$B:$EH"),AH$5,FALSE),0)))</f>
        <v/>
      </c>
      <c r="AI44" s="37" t="str">
        <f t="shared" ref="AI44" si="538">IF($O44="","",IF($O44=0,IF(RIGHT(Category,2)="NY",AH44,SUM(AB44,AG44)),IF(RIGHT(Category,2)="NY",SUM(AH44,AI43),SUM(AB44,AE44*(AD44="Yes"),AG44,AI43))))</f>
        <v/>
      </c>
      <c r="AJ44" s="37" t="str">
        <f t="shared" ref="AJ44" ca="1" si="539">IF($O44="","",VLOOKUP($P44,INDIRECT(PTab&amp;"!$B:$EH"),AJ$5,FALSE))</f>
        <v/>
      </c>
      <c r="AL44" s="135" t="str">
        <f t="shared" ref="AL44" ca="1" si="540">IF($O44="","",IF(OR(PTab="P3",PTab="P7"),VLOOKUP($P44,INDIRECT(PTab&amp;"!$B:$BA"),AL$5,FALSE),VLOOKUP(EOMONTH($P44,11),INDIRECT(PTab&amp;"!$B:$BA"),AL$5,FALSE)))</f>
        <v/>
      </c>
      <c r="AM44" s="41" t="str">
        <f ca="1">IF($O44="","",IF(OR(PTab="P7",Ref!$S$53="Y"),VLOOKUP($P44,INDIRECT(PTab&amp;"!$B:$EH"),AM$5,FALSE),""))</f>
        <v/>
      </c>
      <c r="AN44" s="36" t="str">
        <f t="shared" ref="AN44:AP44" ca="1" si="541">IF($O44="","",IF(PTab="P7",VLOOKUP($P44,INDIRECT(PTab&amp;"!$B:$EH"),AN$5,FALSE),""))</f>
        <v/>
      </c>
      <c r="AO44" s="36" t="str">
        <f t="shared" ca="1" si="541"/>
        <v/>
      </c>
      <c r="AP44" s="36" t="str">
        <f t="shared" ca="1" si="541"/>
        <v/>
      </c>
      <c r="AQ44" s="36" t="str">
        <f t="shared" ref="AQ44" ca="1" si="542">IF($O44="","", IF(PTab="P7",IF($P44=$P$11,0,MAX(AP44-(VLOOKUP($P44,INDIRECT(PTab&amp;"!$B:$EH"),AQ$5,FALSE)-AU44),0)),""))</f>
        <v/>
      </c>
      <c r="AR44" s="41" t="str">
        <f t="shared" ref="AR44:AU44" ca="1" si="543">IF($O44="","",IFERROR(-VLOOKUP($P44,INDIRECT(PTab&amp;"!$B:$EH"),AR$5,FALSE),0))</f>
        <v/>
      </c>
      <c r="AS44" s="36" t="str">
        <f t="shared" ca="1" si="543"/>
        <v/>
      </c>
      <c r="AT44" s="36" t="str">
        <f t="shared" ca="1" si="543"/>
        <v/>
      </c>
      <c r="AU44" s="37" t="str">
        <f t="shared" ca="1" si="543"/>
        <v/>
      </c>
    </row>
    <row r="45" spans="2:68" x14ac:dyDescent="0.3">
      <c r="O45" s="131" t="str">
        <f t="shared" ref="O45" si="544">IFERROR(IF(AND(OR(Summary="Favorable",Summary="Unfavorable",Summary="Most Recent"),OR(($O44+1)&gt;10,$O44="")),"",IF(OR(($O44+1)&gt;Projection,$O44=""),"",$O44+1)),"")</f>
        <v/>
      </c>
      <c r="P45" s="132" t="str" cm="1">
        <f t="array" aca="1" ref="P45" ca="1">IF($O45="","",OFFSET(INDIRECT(PTab&amp;"!"&amp;CELL("address",$B$11)),12*$O45,0))</f>
        <v/>
      </c>
      <c r="Q45" s="30" t="str">
        <f t="shared" ref="Q45" ca="1" si="545">IF($O45="","",VLOOKUP($P45,INDIRECT(PTab&amp;"!$B:$EH"),Q$5,FALSE))</f>
        <v/>
      </c>
      <c r="R45" s="133" t="str">
        <f ca="1">IF($O45="","",IF(MOD(O45,LEFT($R$8))=0,IFERROR(INDEX(INDIRECT(R$7&amp;VLOOKUP(Summary,Ref!$Y$13:$AC$18,3,FALSE)),MATCH($P45,INDIRECT(R$7&amp;VLOOKUP(Summary,Ref!$Y$13:$AC$18,4,FALSE)),0),MATCH(R$8,INDIRECT(R$7&amp;VLOOKUP(Summary,Ref!$Y$13:$AC$18,5,FALSE)),0)),0),0))</f>
        <v/>
      </c>
      <c r="S45" s="133" t="str">
        <f t="shared" ref="S45" ca="1" si="546">IF($O45="","",VLOOKUP($P45,INDIRECT(PTab&amp;"!$B:$EH"),S$5,FALSE))</f>
        <v/>
      </c>
      <c r="T45" s="134" t="str" cm="1">
        <f t="array" aca="1" ref="T45" ca="1">IF($O45="","",VLOOKUP($P45,INDIRECT(PTab&amp;"!$B:$EH"),T$5,FALSE)+IF(AND(PTab="P7",$O45=5),INDEX(INDIRECT(PTab&amp;"!$B$11:$EH$563"),MATCH(6&amp;"|"&amp;1,INDIRECT(PTab&amp;"!$D$11:$D$563")&amp;"|"&amp;INDIRECT(PTab&amp;"!$C$11:$C$563"),0),MATCH("Overlay Credit",INDIRECT(PTab&amp;"!$B$10:$EH$10"),0)),IF(AND(PTab="P2",Ref!$S$53="Y"),AA45,0)))</f>
        <v/>
      </c>
      <c r="U45" s="36" t="str">
        <f t="shared" ref="U45:W45" ca="1" si="547">IF($O45="","",VLOOKUP($P45,INDIRECT(PTab&amp;"!$B:$EH"),U$5,FALSE))</f>
        <v/>
      </c>
      <c r="V45" s="36" t="str">
        <f t="shared" ca="1" si="547"/>
        <v/>
      </c>
      <c r="W45" s="36" t="str">
        <f t="shared" ca="1" si="547"/>
        <v/>
      </c>
      <c r="X45" s="135" t="str">
        <f t="shared" ref="X45" ca="1" si="548">IF(OR($O45="",RIGHT(Category,2)="NY"),"",VLOOKUP($P45,INDIRECT(PTab&amp;"!$B:$EH"),X$5,FALSE))</f>
        <v/>
      </c>
      <c r="Y45" s="36" t="str">
        <f t="shared" ref="Y45" ca="1" si="549">IF($O45="","",VLOOKUP($P45,INDIRECT(PTab&amp;"!$B:$EH"),Y$5,FALSE))</f>
        <v/>
      </c>
      <c r="Z45" s="36" t="str">
        <f t="shared" si="21"/>
        <v/>
      </c>
      <c r="AA45" s="36" t="str">
        <f t="shared" ref="AA45" ca="1" si="550">IF(OR($O45="",RIGHT(Category,2)="NY"),"",VLOOKUP($P45,INDIRECT(PTab&amp;"!$B:$EH"),AA$5,FALSE))</f>
        <v/>
      </c>
      <c r="AB45" s="136"/>
      <c r="AC45" s="36" t="str">
        <f>IF($O45="","",IF(EICRInd="Not Available","Not Available",IF(OR($O45&lt;2,$Q45&lt;WDAge),"Eligibility Criteria Not Met",VLOOKUP(COUNTIFS($AD$11:$AD44,"Yes"),Ref!$AL$58:$AM$63,2))))</f>
        <v/>
      </c>
      <c r="AD45" s="140"/>
      <c r="AE45" s="36" t="str">
        <f t="shared" ref="AE45" ca="1" si="551">IF($O45="","",IFERROR(VLOOKUP(EOMONTH($P45,11),INDIRECT(PTab&amp;"!$B:$EH"),AE$5,FALSE),0))</f>
        <v/>
      </c>
      <c r="AF45" s="36"/>
      <c r="AG45" s="36" t="str">
        <f t="shared" ref="AG45" ca="1" si="552">IF($O45="","",IFERROR(-VLOOKUP(EOMONTH($P45,11),INDIRECT(PTab&amp;"!$B:$EH"),AG$5,FALSE)-IF(OR(RMDInd="Yes",SWInd="Yes"),VLOOKUP(EOMONTH($P45,11),INDIRECT(PTab&amp;"!$B:$EH"),AB$5,FALSE)+AB45*(AB45&lt;&gt;""),0),0))</f>
        <v/>
      </c>
      <c r="AH45" s="36" t="str">
        <f t="shared" ref="AH45" ca="1" si="553">IF($O45="","",IF(RIGHT(Category,2)="NY",IFERROR(-VLOOKUP($P45,INDIRECT(PTab&amp;"!$B:$EH"),AH$5,FALSE),0),IFERROR(VLOOKUP($P45,INDIRECT(PTab&amp;"!$B:$EH"),AH$5,FALSE),0)))</f>
        <v/>
      </c>
      <c r="AI45" s="37" t="str">
        <f t="shared" ref="AI45" si="554">IF($O45="","",IF($O45=0,IF(RIGHT(Category,2)="NY",AH45,SUM(AB45,AG45)),IF(RIGHT(Category,2)="NY",SUM(AH45,AI44),SUM(AB45,AE45*(AD45="Yes"),AG45,AI44))))</f>
        <v/>
      </c>
      <c r="AJ45" s="37" t="str">
        <f t="shared" ref="AJ45" ca="1" si="555">IF($O45="","",VLOOKUP($P45,INDIRECT(PTab&amp;"!$B:$EH"),AJ$5,FALSE))</f>
        <v/>
      </c>
      <c r="AL45" s="135" t="str">
        <f t="shared" ref="AL45" ca="1" si="556">IF($O45="","",IF(OR(PTab="P3",PTab="P7"),VLOOKUP($P45,INDIRECT(PTab&amp;"!$B:$BA"),AL$5,FALSE),VLOOKUP(EOMONTH($P45,11),INDIRECT(PTab&amp;"!$B:$BA"),AL$5,FALSE)))</f>
        <v/>
      </c>
      <c r="AM45" s="41" t="str">
        <f ca="1">IF($O45="","",IF(OR(PTab="P7",Ref!$S$53="Y"),VLOOKUP($P45,INDIRECT(PTab&amp;"!$B:$EH"),AM$5,FALSE),""))</f>
        <v/>
      </c>
      <c r="AN45" s="36" t="str">
        <f t="shared" ref="AN45:AP45" ca="1" si="557">IF($O45="","",IF(PTab="P7",VLOOKUP($P45,INDIRECT(PTab&amp;"!$B:$EH"),AN$5,FALSE),""))</f>
        <v/>
      </c>
      <c r="AO45" s="36" t="str">
        <f t="shared" ca="1" si="557"/>
        <v/>
      </c>
      <c r="AP45" s="36" t="str">
        <f t="shared" ca="1" si="557"/>
        <v/>
      </c>
      <c r="AQ45" s="36" t="str">
        <f t="shared" ref="AQ45" ca="1" si="558">IF($O45="","", IF(PTab="P7",IF($P45=$P$11,0,MAX(AP45-(VLOOKUP($P45,INDIRECT(PTab&amp;"!$B:$EH"),AQ$5,FALSE)-AU45),0)),""))</f>
        <v/>
      </c>
      <c r="AR45" s="41" t="str">
        <f t="shared" ref="AR45:AU45" ca="1" si="559">IF($O45="","",IFERROR(-VLOOKUP($P45,INDIRECT(PTab&amp;"!$B:$EH"),AR$5,FALSE),0))</f>
        <v/>
      </c>
      <c r="AS45" s="36" t="str">
        <f t="shared" ca="1" si="559"/>
        <v/>
      </c>
      <c r="AT45" s="36" t="str">
        <f t="shared" ca="1" si="559"/>
        <v/>
      </c>
      <c r="AU45" s="37" t="str">
        <f t="shared" ca="1" si="559"/>
        <v/>
      </c>
    </row>
    <row r="46" spans="2:68" x14ac:dyDescent="0.3">
      <c r="B46" s="581" t="str">
        <f>IF(AND($C$42="Yes",$C$39="Non-Qualified"),"  !!! RMD for Qualified Contracts Only !!!   ","")</f>
        <v/>
      </c>
      <c r="C46" s="582"/>
      <c r="O46" s="131" t="str">
        <f t="shared" ref="O46" si="560">IFERROR(IF(AND(OR(Summary="Favorable",Summary="Unfavorable",Summary="Most Recent"),OR(($O45+1)&gt;10,$O45="")),"",IF(OR(($O45+1)&gt;Projection,$O45=""),"",$O45+1)),"")</f>
        <v/>
      </c>
      <c r="P46" s="132" t="str" cm="1">
        <f t="array" aca="1" ref="P46" ca="1">IF($O46="","",OFFSET(INDIRECT(PTab&amp;"!"&amp;CELL("address",$B$11)),12*$O46,0))</f>
        <v/>
      </c>
      <c r="Q46" s="30" t="str">
        <f t="shared" ref="Q46" ca="1" si="561">IF($O46="","",VLOOKUP($P46,INDIRECT(PTab&amp;"!$B:$EH"),Q$5,FALSE))</f>
        <v/>
      </c>
      <c r="R46" s="133" t="str">
        <f ca="1">IF($O46="","",IF(MOD(O46,LEFT($R$8))=0,IFERROR(INDEX(INDIRECT(R$7&amp;VLOOKUP(Summary,Ref!$Y$13:$AC$18,3,FALSE)),MATCH($P46,INDIRECT(R$7&amp;VLOOKUP(Summary,Ref!$Y$13:$AC$18,4,FALSE)),0),MATCH(R$8,INDIRECT(R$7&amp;VLOOKUP(Summary,Ref!$Y$13:$AC$18,5,FALSE)),0)),0),0))</f>
        <v/>
      </c>
      <c r="S46" s="133" t="str">
        <f t="shared" ref="S46" ca="1" si="562">IF($O46="","",VLOOKUP($P46,INDIRECT(PTab&amp;"!$B:$EH"),S$5,FALSE))</f>
        <v/>
      </c>
      <c r="T46" s="134" t="str" cm="1">
        <f t="array" aca="1" ref="T46" ca="1">IF($O46="","",VLOOKUP($P46,INDIRECT(PTab&amp;"!$B:$EH"),T$5,FALSE)+IF(AND(PTab="P7",$O46=5),INDEX(INDIRECT(PTab&amp;"!$B$11:$EH$563"),MATCH(6&amp;"|"&amp;1,INDIRECT(PTab&amp;"!$D$11:$D$563")&amp;"|"&amp;INDIRECT(PTab&amp;"!$C$11:$C$563"),0),MATCH("Overlay Credit",INDIRECT(PTab&amp;"!$B$10:$EH$10"),0)),IF(AND(PTab="P2",Ref!$S$53="Y"),AA46,0)))</f>
        <v/>
      </c>
      <c r="U46" s="36" t="str">
        <f t="shared" ref="U46:W46" ca="1" si="563">IF($O46="","",VLOOKUP($P46,INDIRECT(PTab&amp;"!$B:$EH"),U$5,FALSE))</f>
        <v/>
      </c>
      <c r="V46" s="36" t="str">
        <f t="shared" ca="1" si="563"/>
        <v/>
      </c>
      <c r="W46" s="36" t="str">
        <f t="shared" ca="1" si="563"/>
        <v/>
      </c>
      <c r="X46" s="135" t="str">
        <f t="shared" ref="X46" ca="1" si="564">IF(OR($O46="",RIGHT(Category,2)="NY"),"",VLOOKUP($P46,INDIRECT(PTab&amp;"!$B:$EH"),X$5,FALSE))</f>
        <v/>
      </c>
      <c r="Y46" s="36" t="str">
        <f t="shared" ref="Y46" ca="1" si="565">IF($O46="","",VLOOKUP($P46,INDIRECT(PTab&amp;"!$B:$EH"),Y$5,FALSE))</f>
        <v/>
      </c>
      <c r="Z46" s="36" t="str">
        <f t="shared" si="21"/>
        <v/>
      </c>
      <c r="AA46" s="36" t="str">
        <f t="shared" ref="AA46" ca="1" si="566">IF(OR($O46="",RIGHT(Category,2)="NY"),"",VLOOKUP($P46,INDIRECT(PTab&amp;"!$B:$EH"),AA$5,FALSE))</f>
        <v/>
      </c>
      <c r="AB46" s="136"/>
      <c r="AC46" s="36" t="str">
        <f>IF($O46="","",IF(EICRInd="Not Available","Not Available",IF(OR($O46&lt;2,$Q46&lt;WDAge),"Eligibility Criteria Not Met",VLOOKUP(COUNTIFS($AD$11:$AD45,"Yes"),Ref!$AL$58:$AM$63,2))))</f>
        <v/>
      </c>
      <c r="AD46" s="140"/>
      <c r="AE46" s="36" t="str">
        <f t="shared" ref="AE46" ca="1" si="567">IF($O46="","",IFERROR(VLOOKUP(EOMONTH($P46,11),INDIRECT(PTab&amp;"!$B:$EH"),AE$5,FALSE),0))</f>
        <v/>
      </c>
      <c r="AF46" s="36"/>
      <c r="AG46" s="36" t="str">
        <f t="shared" ref="AG46" ca="1" si="568">IF($O46="","",IFERROR(-VLOOKUP(EOMONTH($P46,11),INDIRECT(PTab&amp;"!$B:$EH"),AG$5,FALSE)-IF(OR(RMDInd="Yes",SWInd="Yes"),VLOOKUP(EOMONTH($P46,11),INDIRECT(PTab&amp;"!$B:$EH"),AB$5,FALSE)+AB46*(AB46&lt;&gt;""),0),0))</f>
        <v/>
      </c>
      <c r="AH46" s="36" t="str">
        <f t="shared" ref="AH46" ca="1" si="569">IF($O46="","",IF(RIGHT(Category,2)="NY",IFERROR(-VLOOKUP($P46,INDIRECT(PTab&amp;"!$B:$EH"),AH$5,FALSE),0),IFERROR(VLOOKUP($P46,INDIRECT(PTab&amp;"!$B:$EH"),AH$5,FALSE),0)))</f>
        <v/>
      </c>
      <c r="AI46" s="37" t="str">
        <f t="shared" ref="AI46" si="570">IF($O46="","",IF($O46=0,IF(RIGHT(Category,2)="NY",AH46,SUM(AB46,AG46)),IF(RIGHT(Category,2)="NY",SUM(AH46,AI45),SUM(AB46,AE46*(AD46="Yes"),AG46,AI45))))</f>
        <v/>
      </c>
      <c r="AJ46" s="37" t="str">
        <f t="shared" ref="AJ46" ca="1" si="571">IF($O46="","",VLOOKUP($P46,INDIRECT(PTab&amp;"!$B:$EH"),AJ$5,FALSE))</f>
        <v/>
      </c>
      <c r="AL46" s="135" t="str">
        <f t="shared" ref="AL46" ca="1" si="572">IF($O46="","",IF(OR(PTab="P3",PTab="P7"),VLOOKUP($P46,INDIRECT(PTab&amp;"!$B:$BA"),AL$5,FALSE),VLOOKUP(EOMONTH($P46,11),INDIRECT(PTab&amp;"!$B:$BA"),AL$5,FALSE)))</f>
        <v/>
      </c>
      <c r="AM46" s="41" t="str">
        <f ca="1">IF($O46="","",IF(OR(PTab="P7",Ref!$S$53="Y"),VLOOKUP($P46,INDIRECT(PTab&amp;"!$B:$EH"),AM$5,FALSE),""))</f>
        <v/>
      </c>
      <c r="AN46" s="36" t="str">
        <f t="shared" ref="AN46:AP46" ca="1" si="573">IF($O46="","",IF(PTab="P7",VLOOKUP($P46,INDIRECT(PTab&amp;"!$B:$EH"),AN$5,FALSE),""))</f>
        <v/>
      </c>
      <c r="AO46" s="36" t="str">
        <f t="shared" ca="1" si="573"/>
        <v/>
      </c>
      <c r="AP46" s="36" t="str">
        <f t="shared" ca="1" si="573"/>
        <v/>
      </c>
      <c r="AQ46" s="36" t="str">
        <f t="shared" ref="AQ46" ca="1" si="574">IF($O46="","", IF(PTab="P7",IF($P46=$P$11,0,MAX(AP46-(VLOOKUP($P46,INDIRECT(PTab&amp;"!$B:$EH"),AQ$5,FALSE)-AU46),0)),""))</f>
        <v/>
      </c>
      <c r="AR46" s="41" t="str">
        <f t="shared" ref="AR46:AU46" ca="1" si="575">IF($O46="","",IFERROR(-VLOOKUP($P46,INDIRECT(PTab&amp;"!$B:$EH"),AR$5,FALSE),0))</f>
        <v/>
      </c>
      <c r="AS46" s="36" t="str">
        <f t="shared" ca="1" si="575"/>
        <v/>
      </c>
      <c r="AT46" s="36" t="str">
        <f t="shared" ca="1" si="575"/>
        <v/>
      </c>
      <c r="AU46" s="37" t="str">
        <f t="shared" ca="1" si="575"/>
        <v/>
      </c>
    </row>
    <row r="47" spans="2:68" x14ac:dyDescent="0.3">
      <c r="O47" s="131" t="str">
        <f t="shared" ref="O47" si="576">IFERROR(IF(AND(OR(Summary="Favorable",Summary="Unfavorable",Summary="Most Recent"),OR(($O46+1)&gt;10,$O46="")),"",IF(OR(($O46+1)&gt;Projection,$O46=""),"",$O46+1)),"")</f>
        <v/>
      </c>
      <c r="P47" s="132" t="str" cm="1">
        <f t="array" aca="1" ref="P47" ca="1">IF($O47="","",OFFSET(INDIRECT(PTab&amp;"!"&amp;CELL("address",$B$11)),12*$O47,0))</f>
        <v/>
      </c>
      <c r="Q47" s="30" t="str">
        <f t="shared" ref="Q47" ca="1" si="577">IF($O47="","",VLOOKUP($P47,INDIRECT(PTab&amp;"!$B:$EH"),Q$5,FALSE))</f>
        <v/>
      </c>
      <c r="R47" s="133" t="str">
        <f ca="1">IF($O47="","",IF(MOD(O47,LEFT($R$8))=0,IFERROR(INDEX(INDIRECT(R$7&amp;VLOOKUP(Summary,Ref!$Y$13:$AC$18,3,FALSE)),MATCH($P47,INDIRECT(R$7&amp;VLOOKUP(Summary,Ref!$Y$13:$AC$18,4,FALSE)),0),MATCH(R$8,INDIRECT(R$7&amp;VLOOKUP(Summary,Ref!$Y$13:$AC$18,5,FALSE)),0)),0),0))</f>
        <v/>
      </c>
      <c r="S47" s="133" t="str">
        <f t="shared" ref="S47" ca="1" si="578">IF($O47="","",VLOOKUP($P47,INDIRECT(PTab&amp;"!$B:$EH"),S$5,FALSE))</f>
        <v/>
      </c>
      <c r="T47" s="134" t="str" cm="1">
        <f t="array" aca="1" ref="T47" ca="1">IF($O47="","",VLOOKUP($P47,INDIRECT(PTab&amp;"!$B:$EH"),T$5,FALSE)+IF(AND(PTab="P7",$O47=5),INDEX(INDIRECT(PTab&amp;"!$B$11:$EH$563"),MATCH(6&amp;"|"&amp;1,INDIRECT(PTab&amp;"!$D$11:$D$563")&amp;"|"&amp;INDIRECT(PTab&amp;"!$C$11:$C$563"),0),MATCH("Overlay Credit",INDIRECT(PTab&amp;"!$B$10:$EH$10"),0)),IF(AND(PTab="P2",Ref!$S$53="Y"),AA47,0)))</f>
        <v/>
      </c>
      <c r="U47" s="36" t="str">
        <f t="shared" ref="U47:W47" ca="1" si="579">IF($O47="","",VLOOKUP($P47,INDIRECT(PTab&amp;"!$B:$EH"),U$5,FALSE))</f>
        <v/>
      </c>
      <c r="V47" s="36" t="str">
        <f t="shared" ca="1" si="579"/>
        <v/>
      </c>
      <c r="W47" s="36" t="str">
        <f t="shared" ca="1" si="579"/>
        <v/>
      </c>
      <c r="X47" s="135" t="str">
        <f t="shared" ref="X47" ca="1" si="580">IF(OR($O47="",RIGHT(Category,2)="NY"),"",VLOOKUP($P47,INDIRECT(PTab&amp;"!$B:$EH"),X$5,FALSE))</f>
        <v/>
      </c>
      <c r="Y47" s="36" t="str">
        <f t="shared" ref="Y47" ca="1" si="581">IF($O47="","",VLOOKUP($P47,INDIRECT(PTab&amp;"!$B:$EH"),Y$5,FALSE))</f>
        <v/>
      </c>
      <c r="Z47" s="36" t="str">
        <f t="shared" si="21"/>
        <v/>
      </c>
      <c r="AA47" s="36" t="str">
        <f t="shared" ref="AA47" ca="1" si="582">IF(OR($O47="",RIGHT(Category,2)="NY"),"",VLOOKUP($P47,INDIRECT(PTab&amp;"!$B:$EH"),AA$5,FALSE))</f>
        <v/>
      </c>
      <c r="AB47" s="136"/>
      <c r="AC47" s="36" t="str">
        <f>IF($O47="","",IF(EICRInd="Not Available","Not Available",IF(OR($O47&lt;2,$Q47&lt;WDAge),"Eligibility Criteria Not Met",VLOOKUP(COUNTIFS($AD$11:$AD46,"Yes"),Ref!$AL$58:$AM$63,2))))</f>
        <v/>
      </c>
      <c r="AD47" s="140"/>
      <c r="AE47" s="36" t="str">
        <f t="shared" ref="AE47" ca="1" si="583">IF($O47="","",IFERROR(VLOOKUP(EOMONTH($P47,11),INDIRECT(PTab&amp;"!$B:$EH"),AE$5,FALSE),0))</f>
        <v/>
      </c>
      <c r="AF47" s="36"/>
      <c r="AG47" s="36" t="str">
        <f t="shared" ref="AG47" ca="1" si="584">IF($O47="","",IFERROR(-VLOOKUP(EOMONTH($P47,11),INDIRECT(PTab&amp;"!$B:$EH"),AG$5,FALSE)-IF(OR(RMDInd="Yes",SWInd="Yes"),VLOOKUP(EOMONTH($P47,11),INDIRECT(PTab&amp;"!$B:$EH"),AB$5,FALSE)+AB47*(AB47&lt;&gt;""),0),0))</f>
        <v/>
      </c>
      <c r="AH47" s="36" t="str">
        <f t="shared" ref="AH47" ca="1" si="585">IF($O47="","",IF(RIGHT(Category,2)="NY",IFERROR(-VLOOKUP($P47,INDIRECT(PTab&amp;"!$B:$EH"),AH$5,FALSE),0),IFERROR(VLOOKUP($P47,INDIRECT(PTab&amp;"!$B:$EH"),AH$5,FALSE),0)))</f>
        <v/>
      </c>
      <c r="AI47" s="37" t="str">
        <f t="shared" ref="AI47" si="586">IF($O47="","",IF($O47=0,IF(RIGHT(Category,2)="NY",AH47,SUM(AB47,AG47)),IF(RIGHT(Category,2)="NY",SUM(AH47,AI46),SUM(AB47,AE47*(AD47="Yes"),AG47,AI46))))</f>
        <v/>
      </c>
      <c r="AJ47" s="37" t="str">
        <f t="shared" ref="AJ47" ca="1" si="587">IF($O47="","",VLOOKUP($P47,INDIRECT(PTab&amp;"!$B:$EH"),AJ$5,FALSE))</f>
        <v/>
      </c>
      <c r="AL47" s="135" t="str">
        <f t="shared" ref="AL47" ca="1" si="588">IF($O47="","",IF(OR(PTab="P3",PTab="P7"),VLOOKUP($P47,INDIRECT(PTab&amp;"!$B:$BA"),AL$5,FALSE),VLOOKUP(EOMONTH($P47,11),INDIRECT(PTab&amp;"!$B:$BA"),AL$5,FALSE)))</f>
        <v/>
      </c>
      <c r="AM47" s="41" t="str">
        <f ca="1">IF($O47="","",IF(OR(PTab="P7",Ref!$S$53="Y"),VLOOKUP($P47,INDIRECT(PTab&amp;"!$B:$EH"),AM$5,FALSE),""))</f>
        <v/>
      </c>
      <c r="AN47" s="36" t="str">
        <f t="shared" ref="AN47:AP47" ca="1" si="589">IF($O47="","",IF(PTab="P7",VLOOKUP($P47,INDIRECT(PTab&amp;"!$B:$EH"),AN$5,FALSE),""))</f>
        <v/>
      </c>
      <c r="AO47" s="36" t="str">
        <f t="shared" ca="1" si="589"/>
        <v/>
      </c>
      <c r="AP47" s="36" t="str">
        <f t="shared" ca="1" si="589"/>
        <v/>
      </c>
      <c r="AQ47" s="36" t="str">
        <f t="shared" ref="AQ47" ca="1" si="590">IF($O47="","", IF(PTab="P7",IF($P47=$P$11,0,MAX(AP47-(VLOOKUP($P47,INDIRECT(PTab&amp;"!$B:$EH"),AQ$5,FALSE)-AU47),0)),""))</f>
        <v/>
      </c>
      <c r="AR47" s="41" t="str">
        <f t="shared" ref="AR47:AU47" ca="1" si="591">IF($O47="","",IFERROR(-VLOOKUP($P47,INDIRECT(PTab&amp;"!$B:$EH"),AR$5,FALSE),0))</f>
        <v/>
      </c>
      <c r="AS47" s="36" t="str">
        <f t="shared" ca="1" si="591"/>
        <v/>
      </c>
      <c r="AT47" s="36" t="str">
        <f t="shared" ca="1" si="591"/>
        <v/>
      </c>
      <c r="AU47" s="37" t="str">
        <f t="shared" ca="1" si="591"/>
        <v/>
      </c>
    </row>
    <row r="48" spans="2:68" x14ac:dyDescent="0.3">
      <c r="B48" s="151" t="s">
        <v>33</v>
      </c>
      <c r="C48" s="161">
        <v>10000</v>
      </c>
      <c r="O48" s="131" t="str">
        <f t="shared" ref="O48" si="592">IFERROR(IF(AND(OR(Summary="Favorable",Summary="Unfavorable",Summary="Most Recent"),OR(($O47+1)&gt;10,$O47="")),"",IF(OR(($O47+1)&gt;Projection,$O47=""),"",$O47+1)),"")</f>
        <v/>
      </c>
      <c r="P48" s="132" t="str" cm="1">
        <f t="array" aca="1" ref="P48" ca="1">IF($O48="","",OFFSET(INDIRECT(PTab&amp;"!"&amp;CELL("address",$B$11)),12*$O48,0))</f>
        <v/>
      </c>
      <c r="Q48" s="30" t="str">
        <f t="shared" ref="Q48" ca="1" si="593">IF($O48="","",VLOOKUP($P48,INDIRECT(PTab&amp;"!$B:$EH"),Q$5,FALSE))</f>
        <v/>
      </c>
      <c r="R48" s="133" t="str">
        <f ca="1">IF($O48="","",IF(MOD(O48,LEFT($R$8))=0,IFERROR(INDEX(INDIRECT(R$7&amp;VLOOKUP(Summary,Ref!$Y$13:$AC$18,3,FALSE)),MATCH($P48,INDIRECT(R$7&amp;VLOOKUP(Summary,Ref!$Y$13:$AC$18,4,FALSE)),0),MATCH(R$8,INDIRECT(R$7&amp;VLOOKUP(Summary,Ref!$Y$13:$AC$18,5,FALSE)),0)),0),0))</f>
        <v/>
      </c>
      <c r="S48" s="133" t="str">
        <f t="shared" ref="S48" ca="1" si="594">IF($O48="","",VLOOKUP($P48,INDIRECT(PTab&amp;"!$B:$EH"),S$5,FALSE))</f>
        <v/>
      </c>
      <c r="T48" s="134" t="str" cm="1">
        <f t="array" aca="1" ref="T48" ca="1">IF($O48="","",VLOOKUP($P48,INDIRECT(PTab&amp;"!$B:$EH"),T$5,FALSE)+IF(AND(PTab="P7",$O48=5),INDEX(INDIRECT(PTab&amp;"!$B$11:$EH$563"),MATCH(6&amp;"|"&amp;1,INDIRECT(PTab&amp;"!$D$11:$D$563")&amp;"|"&amp;INDIRECT(PTab&amp;"!$C$11:$C$563"),0),MATCH("Overlay Credit",INDIRECT(PTab&amp;"!$B$10:$EH$10"),0)),IF(AND(PTab="P2",Ref!$S$53="Y"),AA48,0)))</f>
        <v/>
      </c>
      <c r="U48" s="36" t="str">
        <f t="shared" ref="U48:W48" ca="1" si="595">IF($O48="","",VLOOKUP($P48,INDIRECT(PTab&amp;"!$B:$EH"),U$5,FALSE))</f>
        <v/>
      </c>
      <c r="V48" s="36" t="str">
        <f t="shared" ca="1" si="595"/>
        <v/>
      </c>
      <c r="W48" s="36" t="str">
        <f t="shared" ca="1" si="595"/>
        <v/>
      </c>
      <c r="X48" s="135" t="str">
        <f t="shared" ref="X48" ca="1" si="596">IF(OR($O48="",RIGHT(Category,2)="NY"),"",VLOOKUP($P48,INDIRECT(PTab&amp;"!$B:$EH"),X$5,FALSE))</f>
        <v/>
      </c>
      <c r="Y48" s="36" t="str">
        <f t="shared" ref="Y48" ca="1" si="597">IF($O48="","",VLOOKUP($P48,INDIRECT(PTab&amp;"!$B:$EH"),Y$5,FALSE))</f>
        <v/>
      </c>
      <c r="Z48" s="36" t="str">
        <f t="shared" si="21"/>
        <v/>
      </c>
      <c r="AA48" s="36" t="str">
        <f t="shared" ref="AA48" ca="1" si="598">IF(OR($O48="",RIGHT(Category,2)="NY"),"",VLOOKUP($P48,INDIRECT(PTab&amp;"!$B:$EH"),AA$5,FALSE))</f>
        <v/>
      </c>
      <c r="AB48" s="136"/>
      <c r="AC48" s="36" t="str">
        <f>IF($O48="","",IF(EICRInd="Not Available","Not Available",IF(OR($O48&lt;2,$Q48&lt;WDAge),"Eligibility Criteria Not Met",VLOOKUP(COUNTIFS($AD$11:$AD47,"Yes"),Ref!$AL$58:$AM$63,2))))</f>
        <v/>
      </c>
      <c r="AD48" s="140"/>
      <c r="AE48" s="36" t="str">
        <f t="shared" ref="AE48" ca="1" si="599">IF($O48="","",IFERROR(VLOOKUP(EOMONTH($P48,11),INDIRECT(PTab&amp;"!$B:$EH"),AE$5,FALSE),0))</f>
        <v/>
      </c>
      <c r="AF48" s="36"/>
      <c r="AG48" s="36" t="str">
        <f t="shared" ref="AG48" ca="1" si="600">IF($O48="","",IFERROR(-VLOOKUP(EOMONTH($P48,11),INDIRECT(PTab&amp;"!$B:$EH"),AG$5,FALSE)-IF(OR(RMDInd="Yes",SWInd="Yes"),VLOOKUP(EOMONTH($P48,11),INDIRECT(PTab&amp;"!$B:$EH"),AB$5,FALSE)+AB48*(AB48&lt;&gt;""),0),0))</f>
        <v/>
      </c>
      <c r="AH48" s="36" t="str">
        <f t="shared" ref="AH48" ca="1" si="601">IF($O48="","",IF(RIGHT(Category,2)="NY",IFERROR(-VLOOKUP($P48,INDIRECT(PTab&amp;"!$B:$EH"),AH$5,FALSE),0),IFERROR(VLOOKUP($P48,INDIRECT(PTab&amp;"!$B:$EH"),AH$5,FALSE),0)))</f>
        <v/>
      </c>
      <c r="AI48" s="37" t="str">
        <f t="shared" ref="AI48" si="602">IF($O48="","",IF($O48=0,IF(RIGHT(Category,2)="NY",AH48,SUM(AB48,AG48)),IF(RIGHT(Category,2)="NY",SUM(AH48,AI47),SUM(AB48,AE48*(AD48="Yes"),AG48,AI47))))</f>
        <v/>
      </c>
      <c r="AJ48" s="37" t="str">
        <f t="shared" ref="AJ48" ca="1" si="603">IF($O48="","",VLOOKUP($P48,INDIRECT(PTab&amp;"!$B:$EH"),AJ$5,FALSE))</f>
        <v/>
      </c>
      <c r="AL48" s="135" t="str">
        <f t="shared" ref="AL48" ca="1" si="604">IF($O48="","",IF(OR(PTab="P3",PTab="P7"),VLOOKUP($P48,INDIRECT(PTab&amp;"!$B:$BA"),AL$5,FALSE),VLOOKUP(EOMONTH($P48,11),INDIRECT(PTab&amp;"!$B:$BA"),AL$5,FALSE)))</f>
        <v/>
      </c>
      <c r="AM48" s="41" t="str">
        <f ca="1">IF($O48="","",IF(OR(PTab="P7",Ref!$S$53="Y"),VLOOKUP($P48,INDIRECT(PTab&amp;"!$B:$EH"),AM$5,FALSE),""))</f>
        <v/>
      </c>
      <c r="AN48" s="36" t="str">
        <f t="shared" ref="AN48:AP48" ca="1" si="605">IF($O48="","",IF(PTab="P7",VLOOKUP($P48,INDIRECT(PTab&amp;"!$B:$EH"),AN$5,FALSE),""))</f>
        <v/>
      </c>
      <c r="AO48" s="36" t="str">
        <f t="shared" ca="1" si="605"/>
        <v/>
      </c>
      <c r="AP48" s="36" t="str">
        <f t="shared" ca="1" si="605"/>
        <v/>
      </c>
      <c r="AQ48" s="36" t="str">
        <f t="shared" ref="AQ48" ca="1" si="606">IF($O48="","", IF(PTab="P7",IF($P48=$P$11,0,MAX(AP48-(VLOOKUP($P48,INDIRECT(PTab&amp;"!$B:$EH"),AQ$5,FALSE)-AU48),0)),""))</f>
        <v/>
      </c>
      <c r="AR48" s="41" t="str">
        <f t="shared" ref="AR48:AU48" ca="1" si="607">IF($O48="","",IFERROR(-VLOOKUP($P48,INDIRECT(PTab&amp;"!$B:$EH"),AR$5,FALSE),0))</f>
        <v/>
      </c>
      <c r="AS48" s="36" t="str">
        <f t="shared" ca="1" si="607"/>
        <v/>
      </c>
      <c r="AT48" s="36" t="str">
        <f t="shared" ca="1" si="607"/>
        <v/>
      </c>
      <c r="AU48" s="37" t="str">
        <f t="shared" ca="1" si="607"/>
        <v/>
      </c>
    </row>
    <row r="49" spans="2:47" x14ac:dyDescent="0.3">
      <c r="B49" s="153"/>
      <c r="C49" s="162">
        <f>IF(OR(Summary="Favorable", Summary="Unfavorable"),CLPrem*INDEX([1]STRTG!$G$43:$G$59,MATCH($R$7,[1]STRTG!$C$43:$C$59,0),1),CLPrem)</f>
        <v>10000</v>
      </c>
      <c r="O49" s="131" t="str">
        <f t="shared" ref="O49" si="608">IFERROR(IF(AND(OR(Summary="Favorable",Summary="Unfavorable",Summary="Most Recent"),OR(($O48+1)&gt;10,$O48="")),"",IF(OR(($O48+1)&gt;Projection,$O48=""),"",$O48+1)),"")</f>
        <v/>
      </c>
      <c r="P49" s="132" t="str" cm="1">
        <f t="array" aca="1" ref="P49" ca="1">IF($O49="","",OFFSET(INDIRECT(PTab&amp;"!"&amp;CELL("address",$B$11)),12*$O49,0))</f>
        <v/>
      </c>
      <c r="Q49" s="30" t="str">
        <f t="shared" ref="Q49" ca="1" si="609">IF($O49="","",VLOOKUP($P49,INDIRECT(PTab&amp;"!$B:$EH"),Q$5,FALSE))</f>
        <v/>
      </c>
      <c r="R49" s="133" t="str">
        <f ca="1">IF($O49="","",IF(MOD(O49,LEFT($R$8))=0,IFERROR(INDEX(INDIRECT(R$7&amp;VLOOKUP(Summary,Ref!$Y$13:$AC$18,3,FALSE)),MATCH($P49,INDIRECT(R$7&amp;VLOOKUP(Summary,Ref!$Y$13:$AC$18,4,FALSE)),0),MATCH(R$8,INDIRECT(R$7&amp;VLOOKUP(Summary,Ref!$Y$13:$AC$18,5,FALSE)),0)),0),0))</f>
        <v/>
      </c>
      <c r="S49" s="133" t="str">
        <f t="shared" ref="S49" ca="1" si="610">IF($O49="","",VLOOKUP($P49,INDIRECT(PTab&amp;"!$B:$EH"),S$5,FALSE))</f>
        <v/>
      </c>
      <c r="T49" s="134" t="str" cm="1">
        <f t="array" aca="1" ref="T49" ca="1">IF($O49="","",VLOOKUP($P49,INDIRECT(PTab&amp;"!$B:$EH"),T$5,FALSE)+IF(AND(PTab="P7",$O49=5),INDEX(INDIRECT(PTab&amp;"!$B$11:$EH$563"),MATCH(6&amp;"|"&amp;1,INDIRECT(PTab&amp;"!$D$11:$D$563")&amp;"|"&amp;INDIRECT(PTab&amp;"!$C$11:$C$563"),0),MATCH("Overlay Credit",INDIRECT(PTab&amp;"!$B$10:$EH$10"),0)),IF(AND(PTab="P2",Ref!$S$53="Y"),AA49,0)))</f>
        <v/>
      </c>
      <c r="U49" s="36" t="str">
        <f t="shared" ref="U49:W49" ca="1" si="611">IF($O49="","",VLOOKUP($P49,INDIRECT(PTab&amp;"!$B:$EH"),U$5,FALSE))</f>
        <v/>
      </c>
      <c r="V49" s="36" t="str">
        <f t="shared" ca="1" si="611"/>
        <v/>
      </c>
      <c r="W49" s="36" t="str">
        <f t="shared" ca="1" si="611"/>
        <v/>
      </c>
      <c r="X49" s="135" t="str">
        <f t="shared" ref="X49" ca="1" si="612">IF(OR($O49="",RIGHT(Category,2)="NY"),"",VLOOKUP($P49,INDIRECT(PTab&amp;"!$B:$EH"),X$5,FALSE))</f>
        <v/>
      </c>
      <c r="Y49" s="36" t="str">
        <f t="shared" ref="Y49" ca="1" si="613">IF($O49="","",VLOOKUP($P49,INDIRECT(PTab&amp;"!$B:$EH"),Y$5,FALSE))</f>
        <v/>
      </c>
      <c r="Z49" s="36" t="str">
        <f t="shared" si="21"/>
        <v/>
      </c>
      <c r="AA49" s="36" t="str">
        <f t="shared" ref="AA49" ca="1" si="614">IF(OR($O49="",RIGHT(Category,2)="NY"),"",VLOOKUP($P49,INDIRECT(PTab&amp;"!$B:$EH"),AA$5,FALSE))</f>
        <v/>
      </c>
      <c r="AB49" s="136"/>
      <c r="AC49" s="36" t="str">
        <f>IF($O49="","",IF(EICRInd="Not Available","Not Available",IF(OR($O49&lt;2,$Q49&lt;WDAge),"Eligibility Criteria Not Met",VLOOKUP(COUNTIFS($AD$11:$AD48,"Yes"),Ref!$AL$58:$AM$63,2))))</f>
        <v/>
      </c>
      <c r="AD49" s="140"/>
      <c r="AE49" s="36" t="str">
        <f t="shared" ref="AE49" ca="1" si="615">IF($O49="","",IFERROR(VLOOKUP(EOMONTH($P49,11),INDIRECT(PTab&amp;"!$B:$EH"),AE$5,FALSE),0))</f>
        <v/>
      </c>
      <c r="AF49" s="36"/>
      <c r="AG49" s="36" t="str">
        <f t="shared" ref="AG49" ca="1" si="616">IF($O49="","",IFERROR(-VLOOKUP(EOMONTH($P49,11),INDIRECT(PTab&amp;"!$B:$EH"),AG$5,FALSE)-IF(OR(RMDInd="Yes",SWInd="Yes"),VLOOKUP(EOMONTH($P49,11),INDIRECT(PTab&amp;"!$B:$EH"),AB$5,FALSE)+AB49*(AB49&lt;&gt;""),0),0))</f>
        <v/>
      </c>
      <c r="AH49" s="36" t="str">
        <f t="shared" ref="AH49" ca="1" si="617">IF($O49="","",IF(RIGHT(Category,2)="NY",IFERROR(-VLOOKUP($P49,INDIRECT(PTab&amp;"!$B:$EH"),AH$5,FALSE),0),IFERROR(VLOOKUP($P49,INDIRECT(PTab&amp;"!$B:$EH"),AH$5,FALSE),0)))</f>
        <v/>
      </c>
      <c r="AI49" s="37" t="str">
        <f t="shared" ref="AI49" si="618">IF($O49="","",IF($O49=0,IF(RIGHT(Category,2)="NY",AH49,SUM(AB49,AG49)),IF(RIGHT(Category,2)="NY",SUM(AH49,AI48),SUM(AB49,AE49*(AD49="Yes"),AG49,AI48))))</f>
        <v/>
      </c>
      <c r="AJ49" s="37" t="str">
        <f t="shared" ref="AJ49" ca="1" si="619">IF($O49="","",VLOOKUP($P49,INDIRECT(PTab&amp;"!$B:$EH"),AJ$5,FALSE))</f>
        <v/>
      </c>
      <c r="AL49" s="135" t="str">
        <f t="shared" ref="AL49" ca="1" si="620">IF($O49="","",IF(OR(PTab="P3",PTab="P7"),VLOOKUP($P49,INDIRECT(PTab&amp;"!$B:$BA"),AL$5,FALSE),VLOOKUP(EOMONTH($P49,11),INDIRECT(PTab&amp;"!$B:$BA"),AL$5,FALSE)))</f>
        <v/>
      </c>
      <c r="AM49" s="41" t="str">
        <f ca="1">IF($O49="","",IF(OR(PTab="P7",Ref!$S$53="Y"),VLOOKUP($P49,INDIRECT(PTab&amp;"!$B:$EH"),AM$5,FALSE),""))</f>
        <v/>
      </c>
      <c r="AN49" s="36" t="str">
        <f t="shared" ref="AN49:AP49" ca="1" si="621">IF($O49="","",IF(PTab="P7",VLOOKUP($P49,INDIRECT(PTab&amp;"!$B:$EH"),AN$5,FALSE),""))</f>
        <v/>
      </c>
      <c r="AO49" s="36" t="str">
        <f t="shared" ca="1" si="621"/>
        <v/>
      </c>
      <c r="AP49" s="36" t="str">
        <f t="shared" ca="1" si="621"/>
        <v/>
      </c>
      <c r="AQ49" s="36" t="str">
        <f t="shared" ref="AQ49" ca="1" si="622">IF($O49="","", IF(PTab="P7",IF($P49=$P$11,0,MAX(AP49-(VLOOKUP($P49,INDIRECT(PTab&amp;"!$B:$EH"),AQ$5,FALSE)-AU49),0)),""))</f>
        <v/>
      </c>
      <c r="AR49" s="41" t="str">
        <f t="shared" ref="AR49:AU49" ca="1" si="623">IF($O49="","",IFERROR(-VLOOKUP($P49,INDIRECT(PTab&amp;"!$B:$EH"),AR$5,FALSE),0))</f>
        <v/>
      </c>
      <c r="AS49" s="36" t="str">
        <f t="shared" ca="1" si="623"/>
        <v/>
      </c>
      <c r="AT49" s="36" t="str">
        <f t="shared" ca="1" si="623"/>
        <v/>
      </c>
      <c r="AU49" s="37" t="str">
        <f t="shared" ca="1" si="623"/>
        <v/>
      </c>
    </row>
    <row r="50" spans="2:47" x14ac:dyDescent="0.3">
      <c r="B50" s="153" t="s">
        <v>103</v>
      </c>
      <c r="C50" s="163">
        <f>VLOOKUP(InPrem,Ref!$B$73:$C$74,2)</f>
        <v>0</v>
      </c>
      <c r="O50" s="131" t="str">
        <f t="shared" ref="O50" si="624">IFERROR(IF(AND(OR(Summary="Favorable",Summary="Unfavorable",Summary="Most Recent"),OR(($O49+1)&gt;10,$O49="")),"",IF(OR(($O49+1)&gt;Projection,$O49=""),"",$O49+1)),"")</f>
        <v/>
      </c>
      <c r="P50" s="132" t="str" cm="1">
        <f t="array" aca="1" ref="P50" ca="1">IF($O50="","",OFFSET(INDIRECT(PTab&amp;"!"&amp;CELL("address",$B$11)),12*$O50,0))</f>
        <v/>
      </c>
      <c r="Q50" s="30" t="str">
        <f t="shared" ref="Q50" ca="1" si="625">IF($O50="","",VLOOKUP($P50,INDIRECT(PTab&amp;"!$B:$EH"),Q$5,FALSE))</f>
        <v/>
      </c>
      <c r="R50" s="133" t="str">
        <f ca="1">IF($O50="","",IF(MOD(O50,LEFT($R$8))=0,IFERROR(INDEX(INDIRECT(R$7&amp;VLOOKUP(Summary,Ref!$Y$13:$AC$18,3,FALSE)),MATCH($P50,INDIRECT(R$7&amp;VLOOKUP(Summary,Ref!$Y$13:$AC$18,4,FALSE)),0),MATCH(R$8,INDIRECT(R$7&amp;VLOOKUP(Summary,Ref!$Y$13:$AC$18,5,FALSE)),0)),0),0))</f>
        <v/>
      </c>
      <c r="S50" s="133" t="str">
        <f t="shared" ref="S50" ca="1" si="626">IF($O50="","",VLOOKUP($P50,INDIRECT(PTab&amp;"!$B:$EH"),S$5,FALSE))</f>
        <v/>
      </c>
      <c r="T50" s="134" t="str" cm="1">
        <f t="array" aca="1" ref="T50" ca="1">IF($O50="","",VLOOKUP($P50,INDIRECT(PTab&amp;"!$B:$EH"),T$5,FALSE)+IF(AND(PTab="P7",$O50=5),INDEX(INDIRECT(PTab&amp;"!$B$11:$EH$563"),MATCH(6&amp;"|"&amp;1,INDIRECT(PTab&amp;"!$D$11:$D$563")&amp;"|"&amp;INDIRECT(PTab&amp;"!$C$11:$C$563"),0),MATCH("Overlay Credit",INDIRECT(PTab&amp;"!$B$10:$EH$10"),0)),IF(AND(PTab="P2",Ref!$S$53="Y"),AA50,0)))</f>
        <v/>
      </c>
      <c r="U50" s="36" t="str">
        <f t="shared" ref="U50:W50" ca="1" si="627">IF($O50="","",VLOOKUP($P50,INDIRECT(PTab&amp;"!$B:$EH"),U$5,FALSE))</f>
        <v/>
      </c>
      <c r="V50" s="36" t="str">
        <f t="shared" ca="1" si="627"/>
        <v/>
      </c>
      <c r="W50" s="36" t="str">
        <f t="shared" ca="1" si="627"/>
        <v/>
      </c>
      <c r="X50" s="135" t="str">
        <f t="shared" ref="X50" ca="1" si="628">IF(OR($O50="",RIGHT(Category,2)="NY"),"",VLOOKUP($P50,INDIRECT(PTab&amp;"!$B:$EH"),X$5,FALSE))</f>
        <v/>
      </c>
      <c r="Y50" s="36" t="str">
        <f t="shared" ref="Y50" ca="1" si="629">IF($O50="","",VLOOKUP($P50,INDIRECT(PTab&amp;"!$B:$EH"),Y$5,FALSE))</f>
        <v/>
      </c>
      <c r="Z50" s="36" t="str">
        <f t="shared" si="21"/>
        <v/>
      </c>
      <c r="AA50" s="36" t="str">
        <f t="shared" ref="AA50" ca="1" si="630">IF(OR($O50="",RIGHT(Category,2)="NY"),"",VLOOKUP($P50,INDIRECT(PTab&amp;"!$B:$EH"),AA$5,FALSE))</f>
        <v/>
      </c>
      <c r="AB50" s="136"/>
      <c r="AC50" s="36" t="str">
        <f>IF($O50="","",IF(EICRInd="Not Available","Not Available",IF(OR($O50&lt;2,$Q50&lt;WDAge),"Eligibility Criteria Not Met",VLOOKUP(COUNTIFS($AD$11:$AD49,"Yes"),Ref!$AL$58:$AM$63,2))))</f>
        <v/>
      </c>
      <c r="AD50" s="140"/>
      <c r="AE50" s="36" t="str">
        <f t="shared" ref="AE50" ca="1" si="631">IF($O50="","",IFERROR(VLOOKUP(EOMONTH($P50,11),INDIRECT(PTab&amp;"!$B:$EH"),AE$5,FALSE),0))</f>
        <v/>
      </c>
      <c r="AF50" s="36"/>
      <c r="AG50" s="36" t="str">
        <f t="shared" ref="AG50" ca="1" si="632">IF($O50="","",IFERROR(-VLOOKUP(EOMONTH($P50,11),INDIRECT(PTab&amp;"!$B:$EH"),AG$5,FALSE)-IF(OR(RMDInd="Yes",SWInd="Yes"),VLOOKUP(EOMONTH($P50,11),INDIRECT(PTab&amp;"!$B:$EH"),AB$5,FALSE)+AB50*(AB50&lt;&gt;""),0),0))</f>
        <v/>
      </c>
      <c r="AH50" s="36" t="str">
        <f t="shared" ref="AH50" ca="1" si="633">IF($O50="","",IF(RIGHT(Category,2)="NY",IFERROR(-VLOOKUP($P50,INDIRECT(PTab&amp;"!$B:$EH"),AH$5,FALSE),0),IFERROR(VLOOKUP($P50,INDIRECT(PTab&amp;"!$B:$EH"),AH$5,FALSE),0)))</f>
        <v/>
      </c>
      <c r="AI50" s="37" t="str">
        <f t="shared" ref="AI50" si="634">IF($O50="","",IF($O50=0,IF(RIGHT(Category,2)="NY",AH50,SUM(AB50,AG50)),IF(RIGHT(Category,2)="NY",SUM(AH50,AI49),SUM(AB50,AE50*(AD50="Yes"),AG50,AI49))))</f>
        <v/>
      </c>
      <c r="AJ50" s="37" t="str">
        <f t="shared" ref="AJ50" ca="1" si="635">IF($O50="","",VLOOKUP($P50,INDIRECT(PTab&amp;"!$B:$EH"),AJ$5,FALSE))</f>
        <v/>
      </c>
      <c r="AL50" s="135" t="str">
        <f t="shared" ref="AL50" ca="1" si="636">IF($O50="","",IF(OR(PTab="P3",PTab="P7"),VLOOKUP($P50,INDIRECT(PTab&amp;"!$B:$BA"),AL$5,FALSE),VLOOKUP(EOMONTH($P50,11),INDIRECT(PTab&amp;"!$B:$BA"),AL$5,FALSE)))</f>
        <v/>
      </c>
      <c r="AM50" s="41" t="str">
        <f ca="1">IF($O50="","",IF(OR(PTab="P7",Ref!$S$53="Y"),VLOOKUP($P50,INDIRECT(PTab&amp;"!$B:$EH"),AM$5,FALSE),""))</f>
        <v/>
      </c>
      <c r="AN50" s="36" t="str">
        <f t="shared" ref="AN50:AP50" ca="1" si="637">IF($O50="","",IF(PTab="P7",VLOOKUP($P50,INDIRECT(PTab&amp;"!$B:$EH"),AN$5,FALSE),""))</f>
        <v/>
      </c>
      <c r="AO50" s="36" t="str">
        <f t="shared" ca="1" si="637"/>
        <v/>
      </c>
      <c r="AP50" s="36" t="str">
        <f t="shared" ca="1" si="637"/>
        <v/>
      </c>
      <c r="AQ50" s="36" t="str">
        <f t="shared" ref="AQ50" ca="1" si="638">IF($O50="","", IF(PTab="P7",IF($P50=$P$11,0,MAX(AP50-(VLOOKUP($P50,INDIRECT(PTab&amp;"!$B:$EH"),AQ$5,FALSE)-AU50),0)),""))</f>
        <v/>
      </c>
      <c r="AR50" s="41" t="str">
        <f t="shared" ref="AR50:AU50" ca="1" si="639">IF($O50="","",IFERROR(-VLOOKUP($P50,INDIRECT(PTab&amp;"!$B:$EH"),AR$5,FALSE),0))</f>
        <v/>
      </c>
      <c r="AS50" s="36" t="str">
        <f t="shared" ca="1" si="639"/>
        <v/>
      </c>
      <c r="AT50" s="36" t="str">
        <f t="shared" ca="1" si="639"/>
        <v/>
      </c>
      <c r="AU50" s="37" t="str">
        <f t="shared" ca="1" si="639"/>
        <v/>
      </c>
    </row>
    <row r="51" spans="2:47" x14ac:dyDescent="0.3">
      <c r="B51" s="157" t="s">
        <v>104</v>
      </c>
      <c r="C51" s="164">
        <f>C50*InPrem</f>
        <v>0</v>
      </c>
      <c r="O51" s="131" t="str">
        <f t="shared" ref="O51" si="640">IFERROR(IF(AND(OR(Summary="Favorable",Summary="Unfavorable",Summary="Most Recent"),OR(($O50+1)&gt;10,$O50="")),"",IF(OR(($O50+1)&gt;Projection,$O50=""),"",$O50+1)),"")</f>
        <v/>
      </c>
      <c r="P51" s="132" t="str" cm="1">
        <f t="array" aca="1" ref="P51" ca="1">IF($O51="","",OFFSET(INDIRECT(PTab&amp;"!"&amp;CELL("address",$B$11)),12*$O51,0))</f>
        <v/>
      </c>
      <c r="Q51" s="30" t="str">
        <f t="shared" ref="Q51" ca="1" si="641">IF($O51="","",VLOOKUP($P51,INDIRECT(PTab&amp;"!$B:$EH"),Q$5,FALSE))</f>
        <v/>
      </c>
      <c r="R51" s="133" t="str">
        <f ca="1">IF($O51="","",IF(MOD(O51,LEFT($R$8))=0,IFERROR(INDEX(INDIRECT(R$7&amp;VLOOKUP(Summary,Ref!$Y$13:$AC$18,3,FALSE)),MATCH($P51,INDIRECT(R$7&amp;VLOOKUP(Summary,Ref!$Y$13:$AC$18,4,FALSE)),0),MATCH(R$8,INDIRECT(R$7&amp;VLOOKUP(Summary,Ref!$Y$13:$AC$18,5,FALSE)),0)),0),0))</f>
        <v/>
      </c>
      <c r="S51" s="133" t="str">
        <f t="shared" ref="S51" ca="1" si="642">IF($O51="","",VLOOKUP($P51,INDIRECT(PTab&amp;"!$B:$EH"),S$5,FALSE))</f>
        <v/>
      </c>
      <c r="T51" s="134" t="str" cm="1">
        <f t="array" aca="1" ref="T51" ca="1">IF($O51="","",VLOOKUP($P51,INDIRECT(PTab&amp;"!$B:$EH"),T$5,FALSE)+IF(AND(PTab="P7",$O51=5),INDEX(INDIRECT(PTab&amp;"!$B$11:$EH$563"),MATCH(6&amp;"|"&amp;1,INDIRECT(PTab&amp;"!$D$11:$D$563")&amp;"|"&amp;INDIRECT(PTab&amp;"!$C$11:$C$563"),0),MATCH("Overlay Credit",INDIRECT(PTab&amp;"!$B$10:$EH$10"),0)),IF(AND(PTab="P2",Ref!$S$53="Y"),AA51,0)))</f>
        <v/>
      </c>
      <c r="U51" s="36" t="str">
        <f t="shared" ref="U51:W51" ca="1" si="643">IF($O51="","",VLOOKUP($P51,INDIRECT(PTab&amp;"!$B:$EH"),U$5,FALSE))</f>
        <v/>
      </c>
      <c r="V51" s="36" t="str">
        <f t="shared" ca="1" si="643"/>
        <v/>
      </c>
      <c r="W51" s="36" t="str">
        <f t="shared" ca="1" si="643"/>
        <v/>
      </c>
      <c r="X51" s="135" t="str">
        <f t="shared" ref="X51" ca="1" si="644">IF(OR($O51="",RIGHT(Category,2)="NY"),"",VLOOKUP($P51,INDIRECT(PTab&amp;"!$B:$EH"),X$5,FALSE))</f>
        <v/>
      </c>
      <c r="Y51" s="36" t="str">
        <f t="shared" ref="Y51" ca="1" si="645">IF($O51="","",VLOOKUP($P51,INDIRECT(PTab&amp;"!$B:$EH"),Y$5,FALSE))</f>
        <v/>
      </c>
      <c r="Z51" s="36" t="str">
        <f t="shared" si="21"/>
        <v/>
      </c>
      <c r="AA51" s="36" t="str">
        <f t="shared" ref="AA51" ca="1" si="646">IF(OR($O51="",RIGHT(Category,2)="NY"),"",VLOOKUP($P51,INDIRECT(PTab&amp;"!$B:$EH"),AA$5,FALSE))</f>
        <v/>
      </c>
      <c r="AB51" s="136"/>
      <c r="AC51" s="36" t="str">
        <f>IF($O51="","",IF(EICRInd="Not Available","Not Available",IF(OR($O51&lt;2,$Q51&lt;WDAge),"Eligibility Criteria Not Met",VLOOKUP(COUNTIFS($AD$11:$AD50,"Yes"),Ref!$AL$58:$AM$63,2))))</f>
        <v/>
      </c>
      <c r="AD51" s="140"/>
      <c r="AE51" s="36" t="str">
        <f t="shared" ref="AE51" ca="1" si="647">IF($O51="","",IFERROR(VLOOKUP(EOMONTH($P51,11),INDIRECT(PTab&amp;"!$B:$EH"),AE$5,FALSE),0))</f>
        <v/>
      </c>
      <c r="AF51" s="36"/>
      <c r="AG51" s="36" t="str">
        <f t="shared" ref="AG51" ca="1" si="648">IF($O51="","",IFERROR(-VLOOKUP(EOMONTH($P51,11),INDIRECT(PTab&amp;"!$B:$EH"),AG$5,FALSE)-IF(OR(RMDInd="Yes",SWInd="Yes"),VLOOKUP(EOMONTH($P51,11),INDIRECT(PTab&amp;"!$B:$EH"),AB$5,FALSE)+AB51*(AB51&lt;&gt;""),0),0))</f>
        <v/>
      </c>
      <c r="AH51" s="36" t="str">
        <f t="shared" ref="AH51" ca="1" si="649">IF($O51="","",IF(RIGHT(Category,2)="NY",IFERROR(-VLOOKUP($P51,INDIRECT(PTab&amp;"!$B:$EH"),AH$5,FALSE),0),IFERROR(VLOOKUP($P51,INDIRECT(PTab&amp;"!$B:$EH"),AH$5,FALSE),0)))</f>
        <v/>
      </c>
      <c r="AI51" s="37" t="str">
        <f t="shared" ref="AI51" si="650">IF($O51="","",IF($O51=0,IF(RIGHT(Category,2)="NY",AH51,SUM(AB51,AG51)),IF(RIGHT(Category,2)="NY",SUM(AH51,AI50),SUM(AB51,AE51*(AD51="Yes"),AG51,AI50))))</f>
        <v/>
      </c>
      <c r="AJ51" s="37" t="str">
        <f t="shared" ref="AJ51" ca="1" si="651">IF($O51="","",VLOOKUP($P51,INDIRECT(PTab&amp;"!$B:$EH"),AJ$5,FALSE))</f>
        <v/>
      </c>
      <c r="AL51" s="135" t="str">
        <f t="shared" ref="AL51" ca="1" si="652">IF($O51="","",IF(OR(PTab="P3",PTab="P7"),VLOOKUP($P51,INDIRECT(PTab&amp;"!$B:$BA"),AL$5,FALSE),VLOOKUP(EOMONTH($P51,11),INDIRECT(PTab&amp;"!$B:$BA"),AL$5,FALSE)))</f>
        <v/>
      </c>
      <c r="AM51" s="41" t="str">
        <f ca="1">IF($O51="","",IF(OR(PTab="P7",Ref!$S$53="Y"),VLOOKUP($P51,INDIRECT(PTab&amp;"!$B:$EH"),AM$5,FALSE),""))</f>
        <v/>
      </c>
      <c r="AN51" s="36" t="str">
        <f t="shared" ref="AN51:AP51" ca="1" si="653">IF($O51="","",IF(PTab="P7",VLOOKUP($P51,INDIRECT(PTab&amp;"!$B:$EH"),AN$5,FALSE),""))</f>
        <v/>
      </c>
      <c r="AO51" s="36" t="str">
        <f t="shared" ca="1" si="653"/>
        <v/>
      </c>
      <c r="AP51" s="36" t="str">
        <f t="shared" ca="1" si="653"/>
        <v/>
      </c>
      <c r="AQ51" s="36" t="str">
        <f t="shared" ref="AQ51" ca="1" si="654">IF($O51="","", IF(PTab="P7",IF($P51=$P$11,0,MAX(AP51-(VLOOKUP($P51,INDIRECT(PTab&amp;"!$B:$EH"),AQ$5,FALSE)-AU51),0)),""))</f>
        <v/>
      </c>
      <c r="AR51" s="41" t="str">
        <f t="shared" ref="AR51:AU51" ca="1" si="655">IF($O51="","",IFERROR(-VLOOKUP($P51,INDIRECT(PTab&amp;"!$B:$EH"),AR$5,FALSE),0))</f>
        <v/>
      </c>
      <c r="AS51" s="36" t="str">
        <f t="shared" ca="1" si="655"/>
        <v/>
      </c>
      <c r="AT51" s="36" t="str">
        <f t="shared" ca="1" si="655"/>
        <v/>
      </c>
      <c r="AU51" s="37" t="str">
        <f t="shared" ca="1" si="655"/>
        <v/>
      </c>
    </row>
    <row r="52" spans="2:47" x14ac:dyDescent="0.3">
      <c r="O52" s="131" t="str">
        <f t="shared" ref="O52" si="656">IFERROR(IF(AND(OR(Summary="Favorable",Summary="Unfavorable",Summary="Most Recent"),OR(($O51+1)&gt;10,$O51="")),"",IF(OR(($O51+1)&gt;Projection,$O51=""),"",$O51+1)),"")</f>
        <v/>
      </c>
      <c r="P52" s="132" t="str" cm="1">
        <f t="array" aca="1" ref="P52" ca="1">IF($O52="","",OFFSET(INDIRECT(PTab&amp;"!"&amp;CELL("address",$B$11)),12*$O52,0))</f>
        <v/>
      </c>
      <c r="Q52" s="30" t="str">
        <f t="shared" ref="Q52" ca="1" si="657">IF($O52="","",VLOOKUP($P52,INDIRECT(PTab&amp;"!$B:$EH"),Q$5,FALSE))</f>
        <v/>
      </c>
      <c r="R52" s="133" t="str">
        <f ca="1">IF($O52="","",IF(MOD(O52,LEFT($R$8))=0,IFERROR(INDEX(INDIRECT(R$7&amp;VLOOKUP(Summary,Ref!$Y$13:$AC$18,3,FALSE)),MATCH($P52,INDIRECT(R$7&amp;VLOOKUP(Summary,Ref!$Y$13:$AC$18,4,FALSE)),0),MATCH(R$8,INDIRECT(R$7&amp;VLOOKUP(Summary,Ref!$Y$13:$AC$18,5,FALSE)),0)),0),0))</f>
        <v/>
      </c>
      <c r="S52" s="133" t="str">
        <f t="shared" ref="S52" ca="1" si="658">IF($O52="","",VLOOKUP($P52,INDIRECT(PTab&amp;"!$B:$EH"),S$5,FALSE))</f>
        <v/>
      </c>
      <c r="T52" s="134" t="str" cm="1">
        <f t="array" aca="1" ref="T52" ca="1">IF($O52="","",VLOOKUP($P52,INDIRECT(PTab&amp;"!$B:$EH"),T$5,FALSE)+IF(AND(PTab="P7",$O52=5),INDEX(INDIRECT(PTab&amp;"!$B$11:$EH$563"),MATCH(6&amp;"|"&amp;1,INDIRECT(PTab&amp;"!$D$11:$D$563")&amp;"|"&amp;INDIRECT(PTab&amp;"!$C$11:$C$563"),0),MATCH("Overlay Credit",INDIRECT(PTab&amp;"!$B$10:$EH$10"),0)),IF(AND(PTab="P2",Ref!$S$53="Y"),AA52,0)))</f>
        <v/>
      </c>
      <c r="U52" s="36" t="str">
        <f t="shared" ref="U52:W52" ca="1" si="659">IF($O52="","",VLOOKUP($P52,INDIRECT(PTab&amp;"!$B:$EH"),U$5,FALSE))</f>
        <v/>
      </c>
      <c r="V52" s="36" t="str">
        <f t="shared" ca="1" si="659"/>
        <v/>
      </c>
      <c r="W52" s="36" t="str">
        <f t="shared" ca="1" si="659"/>
        <v/>
      </c>
      <c r="X52" s="135" t="str">
        <f t="shared" ref="X52" ca="1" si="660">IF(OR($O52="",RIGHT(Category,2)="NY"),"",VLOOKUP($P52,INDIRECT(PTab&amp;"!$B:$EH"),X$5,FALSE))</f>
        <v/>
      </c>
      <c r="Y52" s="36" t="str">
        <f t="shared" ref="Y52" ca="1" si="661">IF($O52="","",VLOOKUP($P52,INDIRECT(PTab&amp;"!$B:$EH"),Y$5,FALSE))</f>
        <v/>
      </c>
      <c r="Z52" s="36" t="str">
        <f>IF($O52="","",SUM(AR52:AU52))</f>
        <v/>
      </c>
      <c r="AA52" s="36" t="str">
        <f t="shared" ref="AA52" ca="1" si="662">IF(OR($O52="",RIGHT(Category,2)="NY"),"",VLOOKUP($P52,INDIRECT(PTab&amp;"!$B:$EH"),AA$5,FALSE))</f>
        <v/>
      </c>
      <c r="AB52" s="136"/>
      <c r="AC52" s="36" t="str">
        <f>IF($O52="","",IF(EICRInd="Not Available","Not Available",IF(OR($O52&lt;2,$Q52&lt;WDAge),"Eligibility Criteria Not Met",VLOOKUP(COUNTIFS($AD$11:$AD51,"Yes"),Ref!$AL$58:$AM$63,2))))</f>
        <v/>
      </c>
      <c r="AD52" s="140"/>
      <c r="AE52" s="36" t="str">
        <f t="shared" ref="AE52" ca="1" si="663">IF($O52="","",IFERROR(VLOOKUP(EOMONTH($P52,11),INDIRECT(PTab&amp;"!$B:$EH"),AE$5,FALSE),0))</f>
        <v/>
      </c>
      <c r="AF52" s="36"/>
      <c r="AG52" s="36" t="str">
        <f t="shared" ref="AG52" ca="1" si="664">IF($O52="","",IFERROR(-VLOOKUP(EOMONTH($P52,11),INDIRECT(PTab&amp;"!$B:$EH"),AG$5,FALSE)-IF(OR(RMDInd="Yes",SWInd="Yes"),VLOOKUP(EOMONTH($P52,11),INDIRECT(PTab&amp;"!$B:$EH"),AB$5,FALSE)+AB52*(AB52&lt;&gt;""),0),0))</f>
        <v/>
      </c>
      <c r="AH52" s="36" t="str">
        <f t="shared" ref="AH52" ca="1" si="665">IF($O52="","",IF(RIGHT(Category,2)="NY",IFERROR(-VLOOKUP($P52,INDIRECT(PTab&amp;"!$B:$EH"),AH$5,FALSE),0),IFERROR(VLOOKUP($P52,INDIRECT(PTab&amp;"!$B:$EH"),AH$5,FALSE),0)))</f>
        <v/>
      </c>
      <c r="AI52" s="37" t="str">
        <f t="shared" ref="AI52" si="666">IF($O52="","",IF($O52=0,IF(RIGHT(Category,2)="NY",AH52,SUM(AB52,AG52)),IF(RIGHT(Category,2)="NY",SUM(AH52,AI51),SUM(AB52,AE52*(AD52="Yes"),AG52,AI51))))</f>
        <v/>
      </c>
      <c r="AJ52" s="37" t="str">
        <f t="shared" ref="AJ52" ca="1" si="667">IF($O52="","",VLOOKUP($P52,INDIRECT(PTab&amp;"!$B:$EH"),AJ$5,FALSE))</f>
        <v/>
      </c>
      <c r="AL52" s="135" t="str">
        <f t="shared" ref="AL52" ca="1" si="668">IF($O52="","",IF(OR(PTab="P3",PTab="P7"),VLOOKUP($P52,INDIRECT(PTab&amp;"!$B:$BA"),AL$5,FALSE),VLOOKUP(EOMONTH($P52,11),INDIRECT(PTab&amp;"!$B:$BA"),AL$5,FALSE)))</f>
        <v/>
      </c>
      <c r="AM52" s="41" t="str">
        <f ca="1">IF($O52="","",IF(OR(PTab="P7",Ref!$S$53="Y"),VLOOKUP($P52,INDIRECT(PTab&amp;"!$B:$EH"),AM$5,FALSE),""))</f>
        <v/>
      </c>
      <c r="AN52" s="36" t="str">
        <f t="shared" ref="AN52:AP52" ca="1" si="669">IF($O52="","",IF(PTab="P7",VLOOKUP($P52,INDIRECT(PTab&amp;"!$B:$EH"),AN$5,FALSE),""))</f>
        <v/>
      </c>
      <c r="AO52" s="36" t="str">
        <f t="shared" ca="1" si="669"/>
        <v/>
      </c>
      <c r="AP52" s="36" t="str">
        <f t="shared" ca="1" si="669"/>
        <v/>
      </c>
      <c r="AQ52" s="36" t="str">
        <f t="shared" ref="AQ52" ca="1" si="670">IF($O52="","", IF(PTab="P7",IF($P52=$P$11,0,MAX(AP52-(VLOOKUP($P52,INDIRECT(PTab&amp;"!$B:$EH"),AQ$5,FALSE)-AU52),0)),""))</f>
        <v/>
      </c>
      <c r="AR52" s="41" t="str">
        <f t="shared" ref="AR52:AU52" ca="1" si="671">IF($O52="","",IFERROR(-VLOOKUP($P52,INDIRECT(PTab&amp;"!$B:$EH"),AR$5,FALSE),0))</f>
        <v/>
      </c>
      <c r="AS52" s="36" t="str">
        <f t="shared" ca="1" si="671"/>
        <v/>
      </c>
      <c r="AT52" s="36" t="str">
        <f t="shared" ca="1" si="671"/>
        <v/>
      </c>
      <c r="AU52" s="37" t="str">
        <f t="shared" ca="1" si="671"/>
        <v/>
      </c>
    </row>
    <row r="53" spans="2:47" x14ac:dyDescent="0.3">
      <c r="B53" s="151" t="s">
        <v>105</v>
      </c>
      <c r="C53" s="165" cm="1">
        <f t="array" ref="C53">EOMONTH(PFED,-12*Focus)</f>
        <v>37986</v>
      </c>
      <c r="O53" s="131" t="str">
        <f t="shared" ref="O53" si="672">IFERROR(IF(AND(OR(Summary="Favorable",Summary="Unfavorable",Summary="Most Recent"),OR(($O52+1)&gt;10,$O52="")),"",IF(OR(($O52+1)&gt;Projection,$O52=""),"",$O52+1)),"")</f>
        <v/>
      </c>
      <c r="P53" s="132" t="str" cm="1">
        <f t="array" aca="1" ref="P53" ca="1">IF($O53="","",OFFSET(INDIRECT(PTab&amp;"!"&amp;CELL("address",$B$11)),12*$O53,0))</f>
        <v/>
      </c>
      <c r="Q53" s="30" t="str">
        <f t="shared" ref="Q53" ca="1" si="673">IF($O53="","",VLOOKUP($P53,INDIRECT(PTab&amp;"!$B:$EH"),Q$5,FALSE))</f>
        <v/>
      </c>
      <c r="R53" s="133" t="str">
        <f ca="1">IF($O53="","",IF(MOD(O53,LEFT($R$8))=0,IFERROR(INDEX(INDIRECT(R$7&amp;VLOOKUP(Summary,Ref!$Y$13:$AC$18,3,FALSE)),MATCH($P53,INDIRECT(R$7&amp;VLOOKUP(Summary,Ref!$Y$13:$AC$18,4,FALSE)),0),MATCH(R$8,INDIRECT(R$7&amp;VLOOKUP(Summary,Ref!$Y$13:$AC$18,5,FALSE)),0)),0),0))</f>
        <v/>
      </c>
      <c r="S53" s="133" t="str">
        <f t="shared" ref="S53" ca="1" si="674">IF($O53="","",VLOOKUP($P53,INDIRECT(PTab&amp;"!$B:$EH"),S$5,FALSE))</f>
        <v/>
      </c>
      <c r="T53" s="134" t="str" cm="1">
        <f t="array" aca="1" ref="T53" ca="1">IF($O53="","",VLOOKUP($P53,INDIRECT(PTab&amp;"!$B:$EH"),T$5,FALSE)+IF(AND(PTab="P7",$O53=5),INDEX(INDIRECT(PTab&amp;"!$B$11:$EH$563"),MATCH(6&amp;"|"&amp;1,INDIRECT(PTab&amp;"!$D$11:$D$563")&amp;"|"&amp;INDIRECT(PTab&amp;"!$C$11:$C$563"),0),MATCH("Overlay Credit",INDIRECT(PTab&amp;"!$B$10:$EH$10"),0)),IF(AND(PTab="P2",Ref!$S$53="Y"),AA53,0)))</f>
        <v/>
      </c>
      <c r="U53" s="36" t="str">
        <f t="shared" ref="U53:W53" ca="1" si="675">IF($O53="","",VLOOKUP($P53,INDIRECT(PTab&amp;"!$B:$EH"),U$5,FALSE))</f>
        <v/>
      </c>
      <c r="V53" s="36" t="str">
        <f t="shared" ca="1" si="675"/>
        <v/>
      </c>
      <c r="W53" s="36" t="str">
        <f t="shared" ca="1" si="675"/>
        <v/>
      </c>
      <c r="X53" s="135" t="str">
        <f t="shared" ref="X53" ca="1" si="676">IF(OR($O53="",RIGHT(Category,2)="NY"),"",VLOOKUP($P53,INDIRECT(PTab&amp;"!$B:$EH"),X$5,FALSE))</f>
        <v/>
      </c>
      <c r="Y53" s="36" t="str">
        <f t="shared" ref="Y53" ca="1" si="677">IF($O53="","",VLOOKUP($P53,INDIRECT(PTab&amp;"!$B:$EH"),Y$5,FALSE))</f>
        <v/>
      </c>
      <c r="Z53" s="36" t="str">
        <f>IF($O53="","",SUM(AR53:AU53))</f>
        <v/>
      </c>
      <c r="AA53" s="36" t="str">
        <f t="shared" ref="AA53" ca="1" si="678">IF(OR($O53="",RIGHT(Category,2)="NY"),"",VLOOKUP($P53,INDIRECT(PTab&amp;"!$B:$EH"),AA$5,FALSE))</f>
        <v/>
      </c>
      <c r="AB53" s="136"/>
      <c r="AC53" s="36" t="str">
        <f>IF($O53="","",IF(EICRInd="Not Available","Not Available",IF(OR($O53&lt;2,$Q53&lt;WDAge),"Eligibility Criteria Not Met",VLOOKUP(COUNTIFS($AD$11:$AD52,"Yes"),Ref!$AL$58:$AM$63,2))))</f>
        <v/>
      </c>
      <c r="AD53" s="140"/>
      <c r="AE53" s="36" t="str">
        <f t="shared" ref="AE53" ca="1" si="679">IF($O53="","",IFERROR(VLOOKUP(EOMONTH($P53,11),INDIRECT(PTab&amp;"!$B:$EH"),AE$5,FALSE),0))</f>
        <v/>
      </c>
      <c r="AF53" s="36"/>
      <c r="AG53" s="36" t="str">
        <f t="shared" ref="AG53" ca="1" si="680">IF($O53="","",IFERROR(-VLOOKUP(EOMONTH($P53,11),INDIRECT(PTab&amp;"!$B:$EH"),AG$5,FALSE)-IF(OR(RMDInd="Yes",SWInd="Yes"),VLOOKUP(EOMONTH($P53,11),INDIRECT(PTab&amp;"!$B:$EH"),AB$5,FALSE)+AB53*(AB53&lt;&gt;""),0),0))</f>
        <v/>
      </c>
      <c r="AH53" s="36" t="str">
        <f t="shared" ref="AH53" ca="1" si="681">IF($O53="","",IF(RIGHT(Category,2)="NY",IFERROR(-VLOOKUP($P53,INDIRECT(PTab&amp;"!$B:$EH"),AH$5,FALSE),0),IFERROR(VLOOKUP($P53,INDIRECT(PTab&amp;"!$B:$EH"),AH$5,FALSE),0)))</f>
        <v/>
      </c>
      <c r="AI53" s="37" t="str">
        <f t="shared" ref="AI53" si="682">IF($O53="","",IF($O53=0,IF(RIGHT(Category,2)="NY",AH53,SUM(AB53,AG53)),IF(RIGHT(Category,2)="NY",SUM(AH53,AI52),SUM(AB53,AE53*(AD53="Yes"),AG53,AI52))))</f>
        <v/>
      </c>
      <c r="AJ53" s="37" t="str">
        <f t="shared" ref="AJ53" ca="1" si="683">IF($O53="","",VLOOKUP($P53,INDIRECT(PTab&amp;"!$B:$EH"),AJ$5,FALSE))</f>
        <v/>
      </c>
      <c r="AL53" s="135" t="str">
        <f t="shared" ref="AL53" ca="1" si="684">IF($O53="","",IF(OR(PTab="P3",PTab="P7"),VLOOKUP($P53,INDIRECT(PTab&amp;"!$B:$BA"),AL$5,FALSE),VLOOKUP(EOMONTH($P53,11),INDIRECT(PTab&amp;"!$B:$BA"),AL$5,FALSE)))</f>
        <v/>
      </c>
      <c r="AM53" s="41" t="str">
        <f ca="1">IF($O53="","",IF(OR(PTab="P7",Ref!$S$53="Y"),VLOOKUP($P53,INDIRECT(PTab&amp;"!$B:$EH"),AM$5,FALSE),""))</f>
        <v/>
      </c>
      <c r="AN53" s="36" t="str">
        <f t="shared" ref="AN53:AP53" ca="1" si="685">IF($O53="","",IF(PTab="P7",VLOOKUP($P53,INDIRECT(PTab&amp;"!$B:$EH"),AN$5,FALSE),""))</f>
        <v/>
      </c>
      <c r="AO53" s="36" t="str">
        <f t="shared" ca="1" si="685"/>
        <v/>
      </c>
      <c r="AP53" s="36" t="str">
        <f t="shared" ca="1" si="685"/>
        <v/>
      </c>
      <c r="AQ53" s="36" t="str">
        <f t="shared" ref="AQ53" ca="1" si="686">IF($O53="","", IF(PTab="P7",IF($P53=$P$11,0,MAX(AP53-(VLOOKUP($P53,INDIRECT(PTab&amp;"!$B:$EH"),AQ$5,FALSE)-AU53),0)),""))</f>
        <v/>
      </c>
      <c r="AR53" s="41" t="str">
        <f t="shared" ref="AR53:AU53" ca="1" si="687">IF($O53="","",IFERROR(-VLOOKUP($P53,INDIRECT(PTab&amp;"!$B:$EH"),AR$5,FALSE),0))</f>
        <v/>
      </c>
      <c r="AS53" s="36" t="str">
        <f t="shared" ca="1" si="687"/>
        <v/>
      </c>
      <c r="AT53" s="36" t="str">
        <f t="shared" ca="1" si="687"/>
        <v/>
      </c>
      <c r="AU53" s="37" t="str">
        <f t="shared" ca="1" si="687"/>
        <v/>
      </c>
    </row>
    <row r="54" spans="2:47" ht="12.6" customHeight="1" x14ac:dyDescent="0.3">
      <c r="B54" s="153" t="s">
        <v>106</v>
      </c>
      <c r="C54" s="166">
        <f>MIN(Projection,30)</f>
        <v>22</v>
      </c>
      <c r="O54" s="131" t="str">
        <f t="shared" ref="O54" si="688">IFERROR(IF(AND(OR(Summary="Favorable",Summary="Unfavorable",Summary="Most Recent"),OR(($O53+1)&gt;10,$O53="")),"",IF(OR(($O53+1)&gt;Projection,$O53=""),"",$O53+1)),"")</f>
        <v/>
      </c>
      <c r="P54" s="132" t="str" cm="1">
        <f t="array" aca="1" ref="P54" ca="1">IF($O54="","",OFFSET(INDIRECT(PTab&amp;"!"&amp;CELL("address",$B$11)),12*$O54,0))</f>
        <v/>
      </c>
      <c r="Q54" s="30" t="str">
        <f t="shared" ref="Q54" ca="1" si="689">IF($O54="","",VLOOKUP($P54,INDIRECT(PTab&amp;"!$B:$EH"),Q$5,FALSE))</f>
        <v/>
      </c>
      <c r="R54" s="133" t="str">
        <f ca="1">IF($O54="","",IF(MOD(O54,LEFT($R$8))=0,IFERROR(INDEX(INDIRECT(R$7&amp;VLOOKUP(Summary,Ref!$Y$13:$AC$18,3,FALSE)),MATCH($P54,INDIRECT(R$7&amp;VLOOKUP(Summary,Ref!$Y$13:$AC$18,4,FALSE)),0),MATCH(R$8,INDIRECT(R$7&amp;VLOOKUP(Summary,Ref!$Y$13:$AC$18,5,FALSE)),0)),0),0))</f>
        <v/>
      </c>
      <c r="S54" s="133" t="str">
        <f t="shared" ref="S54" ca="1" si="690">IF($O54="","",VLOOKUP($P54,INDIRECT(PTab&amp;"!$B:$EH"),S$5,FALSE))</f>
        <v/>
      </c>
      <c r="T54" s="134" t="str" cm="1">
        <f t="array" aca="1" ref="T54" ca="1">IF($O54="","",VLOOKUP($P54,INDIRECT(PTab&amp;"!$B:$EH"),T$5,FALSE)+IF(AND(PTab="P7",$O54=5),INDEX(INDIRECT(PTab&amp;"!$B$11:$EH$563"),MATCH(6&amp;"|"&amp;1,INDIRECT(PTab&amp;"!$D$11:$D$563")&amp;"|"&amp;INDIRECT(PTab&amp;"!$C$11:$C$563"),0),MATCH("Overlay Credit",INDIRECT(PTab&amp;"!$B$10:$EH$10"),0)),IF(AND(PTab="P2",Ref!$S$53="Y"),AA54,0)))</f>
        <v/>
      </c>
      <c r="U54" s="36" t="str">
        <f t="shared" ref="U54:W54" ca="1" si="691">IF($O54="","",VLOOKUP($P54,INDIRECT(PTab&amp;"!$B:$EH"),U$5,FALSE))</f>
        <v/>
      </c>
      <c r="V54" s="36" t="str">
        <f t="shared" ca="1" si="691"/>
        <v/>
      </c>
      <c r="W54" s="36" t="str">
        <f t="shared" ca="1" si="691"/>
        <v/>
      </c>
      <c r="X54" s="135" t="str">
        <f t="shared" ref="X54" ca="1" si="692">IF(OR($O54="",RIGHT(Category,2)="NY"),"",VLOOKUP($P54,INDIRECT(PTab&amp;"!$B:$EH"),X$5,FALSE))</f>
        <v/>
      </c>
      <c r="Y54" s="36" t="str">
        <f t="shared" ref="Y54" ca="1" si="693">IF($O54="","",VLOOKUP($P54,INDIRECT(PTab&amp;"!$B:$EH"),Y$5,FALSE))</f>
        <v/>
      </c>
      <c r="Z54" s="36" t="str">
        <f>IF($O54="","",SUM(AR54:AU54))</f>
        <v/>
      </c>
      <c r="AA54" s="36" t="str">
        <f t="shared" ref="AA54" ca="1" si="694">IF(OR($O54="",RIGHT(Category,2)="NY"),"",VLOOKUP($P54,INDIRECT(PTab&amp;"!$B:$EH"),AA$5,FALSE))</f>
        <v/>
      </c>
      <c r="AB54" s="136"/>
      <c r="AC54" s="36" t="str">
        <f>IF($O54="","",IF(EICRInd="Not Available","Not Available",IF(OR($O54&lt;2,$Q54&lt;WDAge),"Eligibility Criteria Not Met",VLOOKUP(COUNTIFS($AD$11:$AD53,"Yes"),Ref!$AL$58:$AM$63,2))))</f>
        <v/>
      </c>
      <c r="AD54" s="140"/>
      <c r="AE54" s="36" t="str">
        <f t="shared" ref="AE54" ca="1" si="695">IF($O54="","",IFERROR(VLOOKUP(EOMONTH($P54,11),INDIRECT(PTab&amp;"!$B:$EH"),AE$5,FALSE),0))</f>
        <v/>
      </c>
      <c r="AF54" s="36"/>
      <c r="AG54" s="36" t="str">
        <f t="shared" ref="AG54" ca="1" si="696">IF($O54="","",IFERROR(-VLOOKUP(EOMONTH($P54,11),INDIRECT(PTab&amp;"!$B:$EH"),AG$5,FALSE)-IF(OR(RMDInd="Yes",SWInd="Yes"),VLOOKUP(EOMONTH($P54,11),INDIRECT(PTab&amp;"!$B:$EH"),AB$5,FALSE)+AB54*(AB54&lt;&gt;""),0),0))</f>
        <v/>
      </c>
      <c r="AH54" s="36" t="str">
        <f t="shared" ref="AH54" ca="1" si="697">IF($O54="","",IF(RIGHT(Category,2)="NY",IFERROR(-VLOOKUP($P54,INDIRECT(PTab&amp;"!$B:$EH"),AH$5,FALSE),0),IFERROR(VLOOKUP($P54,INDIRECT(PTab&amp;"!$B:$EH"),AH$5,FALSE),0)))</f>
        <v/>
      </c>
      <c r="AI54" s="37" t="str">
        <f t="shared" ref="AI54" si="698">IF($O54="","",IF($O54=0,IF(RIGHT(Category,2)="NY",AH54,SUM(AB54,AG54)),IF(RIGHT(Category,2)="NY",SUM(AH54,AI53),SUM(AB54,AE54*(AD54="Yes"),AG54,AI53))))</f>
        <v/>
      </c>
      <c r="AJ54" s="37" t="str">
        <f t="shared" ref="AJ54" ca="1" si="699">IF($O54="","",VLOOKUP($P54,INDIRECT(PTab&amp;"!$B:$EH"),AJ$5,FALSE))</f>
        <v/>
      </c>
      <c r="AL54" s="135" t="str">
        <f t="shared" ref="AL54" ca="1" si="700">IF($O54="","",IF(OR(PTab="P3",PTab="P7"),VLOOKUP($P54,INDIRECT(PTab&amp;"!$B:$BA"),AL$5,FALSE),VLOOKUP(EOMONTH($P54,11),INDIRECT(PTab&amp;"!$B:$BA"),AL$5,FALSE)))</f>
        <v/>
      </c>
      <c r="AM54" s="41" t="str">
        <f ca="1">IF($O54="","",IF(OR(PTab="P7",Ref!$S$53="Y"),VLOOKUP($P54,INDIRECT(PTab&amp;"!$B:$EH"),AM$5,FALSE),""))</f>
        <v/>
      </c>
      <c r="AN54" s="36" t="str">
        <f t="shared" ref="AN54:AP54" ca="1" si="701">IF($O54="","",IF(PTab="P7",VLOOKUP($P54,INDIRECT(PTab&amp;"!$B:$EH"),AN$5,FALSE),""))</f>
        <v/>
      </c>
      <c r="AO54" s="36" t="str">
        <f t="shared" ca="1" si="701"/>
        <v/>
      </c>
      <c r="AP54" s="36" t="str">
        <f t="shared" ca="1" si="701"/>
        <v/>
      </c>
      <c r="AQ54" s="36" t="str">
        <f t="shared" ref="AQ54" ca="1" si="702">IF($O54="","", IF(PTab="P7",IF($P54=$P$11,0,MAX(AP54-(VLOOKUP($P54,INDIRECT(PTab&amp;"!$B:$EH"),AQ$5,FALSE)-AU54),0)),""))</f>
        <v/>
      </c>
      <c r="AR54" s="41" t="str">
        <f t="shared" ref="AR54:AU54" ca="1" si="703">IF($O54="","",IFERROR(-VLOOKUP($P54,INDIRECT(PTab&amp;"!$B:$EH"),AR$5,FALSE),0))</f>
        <v/>
      </c>
      <c r="AS54" s="36" t="str">
        <f t="shared" ca="1" si="703"/>
        <v/>
      </c>
      <c r="AT54" s="36" t="str">
        <f t="shared" ca="1" si="703"/>
        <v/>
      </c>
      <c r="AU54" s="37" t="str">
        <f t="shared" ca="1" si="703"/>
        <v/>
      </c>
    </row>
    <row r="55" spans="2:47" x14ac:dyDescent="0.3">
      <c r="B55" s="153" t="s">
        <v>107</v>
      </c>
      <c r="C55" s="167">
        <v>46022</v>
      </c>
      <c r="O55" s="131" t="str">
        <f t="shared" ref="O55" si="704">IFERROR(IF(AND(OR(Summary="Favorable",Summary="Unfavorable",Summary="Most Recent"),OR(($O54+1)&gt;10,$O54="")),"",IF(OR(($O54+1)&gt;Projection,$O54=""),"",$O54+1)),"")</f>
        <v/>
      </c>
      <c r="P55" s="132" t="str" cm="1">
        <f t="array" aca="1" ref="P55" ca="1">IF($O55="","",OFFSET(INDIRECT(PTab&amp;"!"&amp;CELL("address",$B$11)),12*$O55,0))</f>
        <v/>
      </c>
      <c r="Q55" s="30" t="str">
        <f t="shared" ref="Q55" ca="1" si="705">IF($O55="","",VLOOKUP($P55,INDIRECT(PTab&amp;"!$B:$EH"),Q$5,FALSE))</f>
        <v/>
      </c>
      <c r="R55" s="133" t="str">
        <f ca="1">IF($O55="","",IF(MOD(O55,LEFT($R$8))=0,IFERROR(INDEX(INDIRECT(R$7&amp;VLOOKUP(Summary,Ref!$Y$13:$AC$18,3,FALSE)),MATCH($P55,INDIRECT(R$7&amp;VLOOKUP(Summary,Ref!$Y$13:$AC$18,4,FALSE)),0),MATCH(R$8,INDIRECT(R$7&amp;VLOOKUP(Summary,Ref!$Y$13:$AC$18,5,FALSE)),0)),0),0))</f>
        <v/>
      </c>
      <c r="S55" s="133" t="str">
        <f t="shared" ref="S55" ca="1" si="706">IF($O55="","",VLOOKUP($P55,INDIRECT(PTab&amp;"!$B:$EH"),S$5,FALSE))</f>
        <v/>
      </c>
      <c r="T55" s="134" t="str" cm="1">
        <f t="array" aca="1" ref="T55" ca="1">IF($O55="","",VLOOKUP($P55,INDIRECT(PTab&amp;"!$B:$EH"),T$5,FALSE)+IF(AND(PTab="P7",$O55=5),INDEX(INDIRECT(PTab&amp;"!$B$11:$EH$563"),MATCH(6&amp;"|"&amp;1,INDIRECT(PTab&amp;"!$D$11:$D$563")&amp;"|"&amp;INDIRECT(PTab&amp;"!$C$11:$C$563"),0),MATCH("Overlay Credit",INDIRECT(PTab&amp;"!$B$10:$EH$10"),0)),IF(AND(PTab="P2",Ref!$S$53="Y"),AA55,0)))</f>
        <v/>
      </c>
      <c r="U55" s="36" t="str">
        <f t="shared" ref="U55:W55" ca="1" si="707">IF($O55="","",VLOOKUP($P55,INDIRECT(PTab&amp;"!$B:$EH"),U$5,FALSE))</f>
        <v/>
      </c>
      <c r="V55" s="36" t="str">
        <f t="shared" ca="1" si="707"/>
        <v/>
      </c>
      <c r="W55" s="36" t="str">
        <f t="shared" ca="1" si="707"/>
        <v/>
      </c>
      <c r="X55" s="135" t="str">
        <f t="shared" ref="X55" ca="1" si="708">IF(OR($O55="",RIGHT(Category,2)="NY"),"",VLOOKUP($P55,INDIRECT(PTab&amp;"!$B:$EH"),X$5,FALSE))</f>
        <v/>
      </c>
      <c r="Y55" s="36" t="str">
        <f t="shared" ref="Y55" ca="1" si="709">IF($O55="","",VLOOKUP($P55,INDIRECT(PTab&amp;"!$B:$EH"),Y$5,FALSE))</f>
        <v/>
      </c>
      <c r="Z55" s="36" t="str">
        <f>IF($O55="","",SUM(AR55:AU55))</f>
        <v/>
      </c>
      <c r="AA55" s="36" t="str">
        <f t="shared" ref="AA55" ca="1" si="710">IF(OR($O55="",RIGHT(Category,2)="NY"),"",VLOOKUP($P55,INDIRECT(PTab&amp;"!$B:$EH"),AA$5,FALSE))</f>
        <v/>
      </c>
      <c r="AB55" s="136"/>
      <c r="AC55" s="36" t="str">
        <f>IF($O55="","",IF(EICRInd="Not Available","Not Available",IF(OR($O55&lt;2,$Q55&lt;WDAge),"Eligibility Criteria Not Met",VLOOKUP(COUNTIFS($AD$11:$AD54,"Yes"),Ref!$AL$58:$AM$63,2))))</f>
        <v/>
      </c>
      <c r="AD55" s="140"/>
      <c r="AE55" s="36" t="str">
        <f t="shared" ref="AE55" ca="1" si="711">IF($O55="","",IFERROR(VLOOKUP(EOMONTH($P55,11),INDIRECT(PTab&amp;"!$B:$EH"),AE$5,FALSE),0))</f>
        <v/>
      </c>
      <c r="AF55" s="36"/>
      <c r="AG55" s="36" t="str">
        <f t="shared" ref="AG55" ca="1" si="712">IF($O55="","",IFERROR(-VLOOKUP(EOMONTH($P55,11),INDIRECT(PTab&amp;"!$B:$EH"),AG$5,FALSE)-IF(OR(RMDInd="Yes",SWInd="Yes"),VLOOKUP(EOMONTH($P55,11),INDIRECT(PTab&amp;"!$B:$EH"),AB$5,FALSE)+AB55*(AB55&lt;&gt;""),0),0))</f>
        <v/>
      </c>
      <c r="AH55" s="36" t="str">
        <f t="shared" ref="AH55" ca="1" si="713">IF($O55="","",IF(RIGHT(Category,2)="NY",IFERROR(-VLOOKUP($P55,INDIRECT(PTab&amp;"!$B:$EH"),AH$5,FALSE),0),IFERROR(VLOOKUP($P55,INDIRECT(PTab&amp;"!$B:$EH"),AH$5,FALSE),0)))</f>
        <v/>
      </c>
      <c r="AI55" s="37" t="str">
        <f t="shared" ref="AI55" si="714">IF($O55="","",IF($O55=0,IF(RIGHT(Category,2)="NY",AH55,SUM(AB55,AG55)),IF(RIGHT(Category,2)="NY",SUM(AH55,AI54),SUM(AB55,AE55*(AD55="Yes"),AG55,AI54))))</f>
        <v/>
      </c>
      <c r="AJ55" s="37" t="str">
        <f t="shared" ref="AJ55" ca="1" si="715">IF($O55="","",VLOOKUP($P55,INDIRECT(PTab&amp;"!$B:$EH"),AJ$5,FALSE))</f>
        <v/>
      </c>
      <c r="AL55" s="135" t="str">
        <f t="shared" ref="AL55" ca="1" si="716">IF($O55="","",IF(OR(PTab="P3",PTab="P7"),VLOOKUP($P55,INDIRECT(PTab&amp;"!$B:$BA"),AL$5,FALSE),VLOOKUP(EOMONTH($P55,11),INDIRECT(PTab&amp;"!$B:$BA"),AL$5,FALSE)))</f>
        <v/>
      </c>
      <c r="AM55" s="41" t="str">
        <f ca="1">IF($O55="","",IF(OR(PTab="P7",Ref!$S$53="Y"),VLOOKUP($P55,INDIRECT(PTab&amp;"!$B:$EH"),AM$5,FALSE),""))</f>
        <v/>
      </c>
      <c r="AN55" s="36" t="str">
        <f t="shared" ref="AN55:AP55" ca="1" si="717">IF($O55="","",IF(PTab="P7",VLOOKUP($P55,INDIRECT(PTab&amp;"!$B:$EH"),AN$5,FALSE),""))</f>
        <v/>
      </c>
      <c r="AO55" s="36" t="str">
        <f t="shared" ca="1" si="717"/>
        <v/>
      </c>
      <c r="AP55" s="36" t="str">
        <f t="shared" ca="1" si="717"/>
        <v/>
      </c>
      <c r="AQ55" s="36" t="str">
        <f t="shared" ref="AQ55" ca="1" si="718">IF($O55="","", IF(PTab="P7",IF($P55=$P$11,0,MAX(AP55-(VLOOKUP($P55,INDIRECT(PTab&amp;"!$B:$EH"),AQ$5,FALSE)-AU55),0)),""))</f>
        <v/>
      </c>
      <c r="AR55" s="41" t="str">
        <f t="shared" ref="AR55:AU55" ca="1" si="719">IF($O55="","",IFERROR(-VLOOKUP($P55,INDIRECT(PTab&amp;"!$B:$EH"),AR$5,FALSE),0))</f>
        <v/>
      </c>
      <c r="AS55" s="36" t="str">
        <f t="shared" ca="1" si="719"/>
        <v/>
      </c>
      <c r="AT55" s="36" t="str">
        <f t="shared" ca="1" si="719"/>
        <v/>
      </c>
      <c r="AU55" s="37" t="str">
        <f t="shared" ca="1" si="719"/>
        <v/>
      </c>
    </row>
    <row r="56" spans="2:47" x14ac:dyDescent="0.3">
      <c r="B56" s="153" t="s">
        <v>108</v>
      </c>
      <c r="C56" s="166">
        <f>MatAge-IF(Election="Joint Life",MIN(IssAge1,IssAge2),IssAge1)</f>
        <v>22</v>
      </c>
      <c r="O56" s="131" t="str">
        <f t="shared" ref="O56" si="720">IFERROR(IF(AND(OR(Summary="Favorable",Summary="Unfavorable",Summary="Most Recent"),OR(($O55+1)&gt;10,$O55="")),"",IF(OR(($O55+1)&gt;Projection,$O55=""),"",$O55+1)),"")</f>
        <v/>
      </c>
      <c r="P56" s="132" t="str" cm="1">
        <f t="array" aca="1" ref="P56" ca="1">IF($O56="","",OFFSET(INDIRECT(PTab&amp;"!"&amp;CELL("address",$B$11)),12*$O56,0))</f>
        <v/>
      </c>
      <c r="Q56" s="30" t="str">
        <f t="shared" ref="Q56" ca="1" si="721">IF($O56="","",VLOOKUP($P56,INDIRECT(PTab&amp;"!$B:$EH"),Q$5,FALSE))</f>
        <v/>
      </c>
      <c r="R56" s="133" t="str">
        <f ca="1">IF($O56="","",IF(MOD(O56,LEFT($R$8))=0,IFERROR(INDEX(INDIRECT(R$7&amp;VLOOKUP(Summary,Ref!$Y$13:$AC$18,3,FALSE)),MATCH($P56,INDIRECT(R$7&amp;VLOOKUP(Summary,Ref!$Y$13:$AC$18,4,FALSE)),0),MATCH(R$8,INDIRECT(R$7&amp;VLOOKUP(Summary,Ref!$Y$13:$AC$18,5,FALSE)),0)),0),0))</f>
        <v/>
      </c>
      <c r="S56" s="133" t="str">
        <f t="shared" ref="S56" ca="1" si="722">IF($O56="","",VLOOKUP($P56,INDIRECT(PTab&amp;"!$B:$EH"),S$5,FALSE))</f>
        <v/>
      </c>
      <c r="T56" s="134" t="str" cm="1">
        <f t="array" aca="1" ref="T56" ca="1">IF($O56="","",VLOOKUP($P56,INDIRECT(PTab&amp;"!$B:$EH"),T$5,FALSE)+IF(AND(PTab="P7",$O56=5),INDEX(INDIRECT(PTab&amp;"!$B$11:$EH$563"),MATCH(6&amp;"|"&amp;1,INDIRECT(PTab&amp;"!$D$11:$D$563")&amp;"|"&amp;INDIRECT(PTab&amp;"!$C$11:$C$563"),0),MATCH("Overlay Credit",INDIRECT(PTab&amp;"!$B$10:$EH$10"),0)),IF(AND(PTab="P2",Ref!$S$53="Y"),AA56,0)))</f>
        <v/>
      </c>
      <c r="U56" s="36" t="str">
        <f t="shared" ref="U56:W56" ca="1" si="723">IF($O56="","",VLOOKUP($P56,INDIRECT(PTab&amp;"!$B:$EH"),U$5,FALSE))</f>
        <v/>
      </c>
      <c r="V56" s="36" t="str">
        <f t="shared" ca="1" si="723"/>
        <v/>
      </c>
      <c r="W56" s="36" t="str">
        <f t="shared" ca="1" si="723"/>
        <v/>
      </c>
      <c r="X56" s="135" t="str">
        <f t="shared" ref="X56" ca="1" si="724">IF(OR($O56="",RIGHT(Category,2)="NY"),"",VLOOKUP($P56,INDIRECT(PTab&amp;"!$B:$EH"),X$5,FALSE))</f>
        <v/>
      </c>
      <c r="Y56" s="36" t="str">
        <f t="shared" ref="Y56" ca="1" si="725">IF($O56="","",VLOOKUP($P56,INDIRECT(PTab&amp;"!$B:$EH"),Y$5,FALSE))</f>
        <v/>
      </c>
      <c r="Z56" s="36" t="str">
        <f>IF($O56="","",SUM(AR56:AU56))</f>
        <v/>
      </c>
      <c r="AA56" s="36" t="str">
        <f t="shared" ref="AA56" ca="1" si="726">IF(OR($O56="",RIGHT(Category,2)="NY"),"",VLOOKUP($P56,INDIRECT(PTab&amp;"!$B:$EH"),AA$5,FALSE))</f>
        <v/>
      </c>
      <c r="AB56" s="136"/>
      <c r="AC56" s="36" t="str">
        <f>IF($O56="","",IF(EICRInd="Not Available","Not Available",IF(OR($O56&lt;2,$Q56&lt;WDAge),"Eligibility Criteria Not Met",VLOOKUP(COUNTIFS($AD$11:$AD55,"Yes"),Ref!$AL$58:$AM$63,2))))</f>
        <v/>
      </c>
      <c r="AD56" s="140"/>
      <c r="AE56" s="36" t="str">
        <f t="shared" ref="AE56" ca="1" si="727">IF($O56="","",IFERROR(VLOOKUP(EOMONTH($P56,11),INDIRECT(PTab&amp;"!$B:$EH"),AE$5,FALSE),0))</f>
        <v/>
      </c>
      <c r="AF56" s="36"/>
      <c r="AG56" s="36" t="str">
        <f t="shared" ref="AG56" ca="1" si="728">IF($O56="","",IFERROR(-VLOOKUP(EOMONTH($P56,11),INDIRECT(PTab&amp;"!$B:$EH"),AG$5,FALSE)-IF(OR(RMDInd="Yes",SWInd="Yes"),VLOOKUP(EOMONTH($P56,11),INDIRECT(PTab&amp;"!$B:$EH"),AB$5,FALSE)+AB56*(AB56&lt;&gt;""),0),0))</f>
        <v/>
      </c>
      <c r="AH56" s="36" t="str">
        <f t="shared" ref="AH56" ca="1" si="729">IF($O56="","",IF(RIGHT(Category,2)="NY",IFERROR(-VLOOKUP($P56,INDIRECT(PTab&amp;"!$B:$EH"),AH$5,FALSE),0),IFERROR(VLOOKUP($P56,INDIRECT(PTab&amp;"!$B:$EH"),AH$5,FALSE),0)))</f>
        <v/>
      </c>
      <c r="AI56" s="37" t="str">
        <f t="shared" ref="AI56" si="730">IF($O56="","",IF($O56=0,IF(RIGHT(Category,2)="NY",AH56,SUM(AB56,AG56)),IF(RIGHT(Category,2)="NY",SUM(AH56,AI55),SUM(AB56,AE56*(AD56="Yes"),AG56,AI55))))</f>
        <v/>
      </c>
      <c r="AJ56" s="37" t="str">
        <f t="shared" ref="AJ56" ca="1" si="731">IF($O56="","",VLOOKUP($P56,INDIRECT(PTab&amp;"!$B:$EH"),AJ$5,FALSE))</f>
        <v/>
      </c>
      <c r="AL56" s="135" t="str">
        <f t="shared" ref="AL56" ca="1" si="732">IF($O56="","",IF(OR(PTab="P3",PTab="P7"),VLOOKUP($P56,INDIRECT(PTab&amp;"!$B:$BA"),AL$5,FALSE),VLOOKUP(EOMONTH($P56,11),INDIRECT(PTab&amp;"!$B:$BA"),AL$5,FALSE)))</f>
        <v/>
      </c>
      <c r="AM56" s="41" t="str">
        <f ca="1">IF($O56="","",IF(OR(PTab="P7",Ref!$S$53="Y"),VLOOKUP($P56,INDIRECT(PTab&amp;"!$B:$EH"),AM$5,FALSE),""))</f>
        <v/>
      </c>
      <c r="AN56" s="36" t="str">
        <f t="shared" ref="AN56:AP56" ca="1" si="733">IF($O56="","",IF(PTab="P7",VLOOKUP($P56,INDIRECT(PTab&amp;"!$B:$EH"),AN$5,FALSE),""))</f>
        <v/>
      </c>
      <c r="AO56" s="36" t="str">
        <f t="shared" ca="1" si="733"/>
        <v/>
      </c>
      <c r="AP56" s="36" t="str">
        <f t="shared" ca="1" si="733"/>
        <v/>
      </c>
      <c r="AQ56" s="36" t="str">
        <f t="shared" ref="AQ56" ca="1" si="734">IF($O56="","", IF(PTab="P7",IF($P56=$P$11,0,MAX(AP56-(VLOOKUP($P56,INDIRECT(PTab&amp;"!$B:$EH"),AQ$5,FALSE)-AU56),0)),""))</f>
        <v/>
      </c>
      <c r="AR56" s="41" t="str">
        <f t="shared" ref="AR56:AU56" ca="1" si="735">IF($O56="","",IFERROR(-VLOOKUP($P56,INDIRECT(PTab&amp;"!$B:$EH"),AR$5,FALSE),0))</f>
        <v/>
      </c>
      <c r="AS56" s="36" t="str">
        <f t="shared" ca="1" si="735"/>
        <v/>
      </c>
      <c r="AT56" s="36" t="str">
        <f t="shared" ca="1" si="735"/>
        <v/>
      </c>
      <c r="AU56" s="37" t="str">
        <f t="shared" ca="1" si="735"/>
        <v/>
      </c>
    </row>
    <row r="57" spans="2:47" x14ac:dyDescent="0.3">
      <c r="B57" s="157" t="s">
        <v>109</v>
      </c>
      <c r="C57" s="168">
        <f>EOMONTH(ISD,12*Projection)</f>
        <v>46022</v>
      </c>
      <c r="O57" s="169"/>
      <c r="P57" s="170"/>
      <c r="Q57" s="171"/>
      <c r="R57" s="172"/>
      <c r="S57" s="172"/>
      <c r="T57" s="173"/>
      <c r="U57" s="136"/>
      <c r="V57" s="136"/>
      <c r="W57" s="136"/>
      <c r="X57" s="174"/>
      <c r="Y57" s="136"/>
      <c r="Z57" s="136"/>
      <c r="AA57" s="136"/>
      <c r="AB57" s="136"/>
      <c r="AC57" s="136"/>
      <c r="AD57" s="140"/>
      <c r="AE57" s="136"/>
      <c r="AF57" s="136"/>
      <c r="AG57" s="136"/>
      <c r="AH57" s="136"/>
      <c r="AI57" s="175"/>
      <c r="AJ57" s="175"/>
      <c r="AL57" s="174"/>
      <c r="AM57" s="176"/>
      <c r="AN57" s="136"/>
      <c r="AO57" s="136"/>
      <c r="AP57" s="136"/>
      <c r="AQ57" s="136"/>
      <c r="AR57" s="176"/>
      <c r="AS57" s="136"/>
      <c r="AT57" s="136"/>
      <c r="AU57" s="175"/>
    </row>
    <row r="58" spans="2:47" x14ac:dyDescent="0.3">
      <c r="O58" s="169"/>
      <c r="P58" s="170"/>
      <c r="Q58" s="171"/>
      <c r="R58" s="172"/>
      <c r="S58" s="172"/>
      <c r="T58" s="173"/>
      <c r="U58" s="136"/>
      <c r="V58" s="136"/>
      <c r="W58" s="136"/>
      <c r="X58" s="174"/>
      <c r="Y58" s="136"/>
      <c r="Z58" s="136"/>
      <c r="AA58" s="136"/>
      <c r="AB58" s="136"/>
      <c r="AC58" s="136"/>
      <c r="AD58" s="140"/>
      <c r="AE58" s="136"/>
      <c r="AF58" s="136"/>
      <c r="AG58" s="136"/>
      <c r="AH58" s="136"/>
      <c r="AI58" s="175"/>
      <c r="AJ58" s="175"/>
      <c r="AL58" s="174"/>
      <c r="AM58" s="176"/>
      <c r="AN58" s="136"/>
      <c r="AO58" s="136"/>
      <c r="AP58" s="136"/>
      <c r="AQ58" s="136"/>
      <c r="AR58" s="176"/>
      <c r="AS58" s="136"/>
      <c r="AT58" s="136"/>
      <c r="AU58" s="175"/>
    </row>
    <row r="59" spans="2:47" ht="12.6" customHeight="1" x14ac:dyDescent="0.3">
      <c r="B59" s="151" t="s">
        <v>110</v>
      </c>
      <c r="C59" s="177">
        <f>Ref!$C$119</f>
        <v>0.875</v>
      </c>
      <c r="O59" s="583" t="s">
        <v>38</v>
      </c>
      <c r="P59" s="585" t="s">
        <v>111</v>
      </c>
      <c r="Q59" s="586"/>
      <c r="R59" s="178" cm="1">
        <f t="array" aca="1" ref="R59" ca="1">IFERROR(SUMPRODUCT(GEOMEAN(IF(IF(OR(Summary="Favorable",Summary="Unfavorable",Summary="Most Recent"),INDIRECT("R12:R"&amp;(11+10)),INDIRECT("R12:R"&amp;(11+Projection)))&lt;&gt;"-",IF(IF(OR(Summary="Favorable",Summary="Unfavorable",Summary="Most Recent"),INDIRECT("R12:R"&amp;(11+10)),INDIRECT("R12:R"&amp;(11+Projection)))&lt;&gt;"",IF(OR(Summary="Favorable",Summary="Unfavorable",Summary="Most Recent"),INDIRECT("R12:R"&amp;(11+10)),INDIRECT("R12:R"&amp;(11+Projection)))))+1)-1),"Examine")</f>
        <v>0</v>
      </c>
      <c r="S59" s="179" t="str" cm="1">
        <f t="array" aca="1" ref="S59" ca="1">IFERROR(SUMPRODUCT(GEOMEAN(IF(IF(OR(Summary="Favorable",Summary="Unfavorable",Summary="Most Recent"),INDIRECT("S12:S"&amp;(11+10)),INDIRECT("S12:S"&amp;(11+Projection)))&lt;&gt;"-",IF(IF(OR(Summary="Favorable",Summary="Unfavorable",Summary="Most Recent"),INDIRECT("S12:S"&amp;(11+10)),INDIRECT("S12:S"&amp;(11+Projection)))&lt;&gt;"",IF(OR(Summary="Favorable",Summary="Unfavorable",Summary="Most Recent"),INDIRECT("S12:S"&amp;(11+10)),INDIRECT("S12:S"&amp;(11+Projection)))))+1)-1),"Examine")</f>
        <v>Examine</v>
      </c>
      <c r="T59" s="579" t="e">
        <f ca="1">SUM(T11:T56)</f>
        <v>#REF!</v>
      </c>
      <c r="U59" s="563" t="str">
        <f ca="1">IFERROR(VLOOKUP(IF(OR(Summary="Favorable",Summary="Unfavorable",Summary="Most Recent"),$Q$11+10,MatAge),$Q$12:$AJ$56,5,FALSE),"")</f>
        <v/>
      </c>
      <c r="V59" s="563" t="str">
        <f ca="1">IFERROR(VLOOKUP(IF(OR(Summary="Favorable",Summary="Unfavorable",Summary="Most Recent"),$Q$11+10,MatAge),$Q$12:$AJ$56,6,FALSE),"")</f>
        <v/>
      </c>
      <c r="W59" s="567" t="str">
        <f ca="1">IFERROR(VLOOKUP(IF(OR(Summary="Favorable",Summary="Unfavorable",Summary="Most Recent"),$Q$11+10,MatAge),$Q$12:$AJ$56,7,FALSE),"")</f>
        <v/>
      </c>
      <c r="X59" s="579" t="str">
        <f ca="1">IFERROR(VLOOKUP(IF(OR(Summary="Favorable",Summary="Unfavorable",Summary="Most Recent"),$Q$11+10,MatAge),$Q$12:$AJ$56,8,FALSE),"")</f>
        <v/>
      </c>
      <c r="Y59" s="563" t="str">
        <f ca="1">IFERROR(VLOOKUP(IF(OR(Summary="Favorable",Summary="Unfavorable",Summary="Most Recent"),$Q$11+10,MatAge),$Q$12:$AJ$56,9,FALSE),"")</f>
        <v/>
      </c>
      <c r="Z59" s="563">
        <f ca="1">SUM(Z11:Z56)</f>
        <v>0</v>
      </c>
      <c r="AA59" s="563" t="e">
        <f ca="1">SUM(AA11:AA56)</f>
        <v>#REF!</v>
      </c>
      <c r="AB59" s="563">
        <f>SUM(AB11:AB56)</f>
        <v>0</v>
      </c>
      <c r="AC59" s="577"/>
      <c r="AD59" s="563"/>
      <c r="AE59" s="563">
        <f>SUMIFS(AE11:AE56,AD11:AD56,"Yes")</f>
        <v>0</v>
      </c>
      <c r="AF59" s="563"/>
      <c r="AG59" s="563">
        <f ca="1">SUM(AG11:AG56)</f>
        <v>0</v>
      </c>
      <c r="AH59" s="563">
        <f ca="1">SUM(AH11:AH56)</f>
        <v>0</v>
      </c>
      <c r="AI59" s="571">
        <f ca="1">MAX(AI11:AI56)</f>
        <v>0</v>
      </c>
      <c r="AJ59" s="573" t="str">
        <f ca="1">IFERROR(VLOOKUP(IF(OR(Summary="Favorable",Summary="Unfavorable",Summary="Most Recent"),$Q$11+10,MatAge),$Q$12:$AJ$56,20,FALSE),"")</f>
        <v/>
      </c>
      <c r="AL59" s="575"/>
      <c r="AM59" s="565"/>
      <c r="AN59" s="563"/>
      <c r="AO59" s="563"/>
      <c r="AP59" s="563"/>
      <c r="AQ59" s="180"/>
      <c r="AR59" s="565">
        <f ca="1">SUM(AR11:AR56)</f>
        <v>0</v>
      </c>
      <c r="AS59" s="563">
        <f ca="1">SUM(AS11:AS56)</f>
        <v>0</v>
      </c>
      <c r="AT59" s="563">
        <f ca="1">SUM(AT11:AT56)</f>
        <v>0</v>
      </c>
      <c r="AU59" s="567">
        <f ca="1">SUM(AU11:AU56)</f>
        <v>0</v>
      </c>
    </row>
    <row r="60" spans="2:47" x14ac:dyDescent="0.3">
      <c r="B60" s="157" t="s">
        <v>112</v>
      </c>
      <c r="C60" s="181">
        <v>0.03</v>
      </c>
      <c r="O60" s="584"/>
      <c r="P60" s="569" t="s">
        <v>113</v>
      </c>
      <c r="Q60" s="570"/>
      <c r="R60" s="182">
        <f ca="1">SUM(R12:R56)/IF(OR(Summary="Favorable", Summary="Unfavorable", Summary="Most Recent"),10,Projection)</f>
        <v>0</v>
      </c>
      <c r="S60" s="183" t="e">
        <f ca="1">SUM(S12:S56)/IF(OR(Summary="Favorable", Summary="Unfavorable", Summary="Most Recent"),10,Projection)</f>
        <v>#REF!</v>
      </c>
      <c r="T60" s="580"/>
      <c r="U60" s="564"/>
      <c r="V60" s="564"/>
      <c r="W60" s="568"/>
      <c r="X60" s="580"/>
      <c r="Y60" s="564"/>
      <c r="Z60" s="564"/>
      <c r="AA60" s="564"/>
      <c r="AB60" s="564"/>
      <c r="AC60" s="578"/>
      <c r="AD60" s="564"/>
      <c r="AE60" s="564"/>
      <c r="AF60" s="564"/>
      <c r="AG60" s="564"/>
      <c r="AH60" s="564"/>
      <c r="AI60" s="572"/>
      <c r="AJ60" s="574"/>
      <c r="AL60" s="576"/>
      <c r="AM60" s="566"/>
      <c r="AN60" s="564"/>
      <c r="AO60" s="564"/>
      <c r="AP60" s="564"/>
      <c r="AQ60" s="184"/>
      <c r="AR60" s="566"/>
      <c r="AS60" s="564"/>
      <c r="AT60" s="564"/>
      <c r="AU60" s="568"/>
    </row>
    <row r="62" spans="2:47" ht="14.4" x14ac:dyDescent="0.3">
      <c r="B62" s="151" t="s">
        <v>114</v>
      </c>
      <c r="C62" s="185">
        <v>0.03</v>
      </c>
      <c r="R62" s="186"/>
      <c r="S62" s="186"/>
    </row>
    <row r="63" spans="2:47" ht="15.6" x14ac:dyDescent="0.3">
      <c r="B63" s="153" t="s">
        <v>115</v>
      </c>
      <c r="C63" s="163">
        <f>[1]STRTG!T14</f>
        <v>4.4999999999999998E-2</v>
      </c>
      <c r="O63" s="545" t="s">
        <v>116</v>
      </c>
      <c r="P63" s="546"/>
      <c r="Q63" s="546"/>
      <c r="R63" s="546"/>
      <c r="S63" s="546"/>
      <c r="T63" s="546"/>
      <c r="U63" s="546"/>
      <c r="V63" s="546"/>
      <c r="W63" s="546"/>
      <c r="X63" s="546"/>
      <c r="Y63" s="546"/>
      <c r="Z63" s="546"/>
      <c r="AA63" s="546"/>
      <c r="AB63" s="546"/>
      <c r="AC63" s="546"/>
      <c r="AD63" s="546"/>
      <c r="AE63" s="546"/>
      <c r="AF63" s="546"/>
      <c r="AG63" s="546"/>
      <c r="AH63" s="546"/>
      <c r="AI63" s="546"/>
      <c r="AJ63" s="547"/>
    </row>
    <row r="64" spans="2:47" x14ac:dyDescent="0.3">
      <c r="B64" s="157" t="s">
        <v>117</v>
      </c>
      <c r="C64" s="187">
        <v>2.5000000000000001E-3</v>
      </c>
      <c r="O64" s="188" t="s">
        <v>118</v>
      </c>
      <c r="P64" s="189"/>
      <c r="Q64" s="189"/>
      <c r="R64" s="189"/>
      <c r="S64" s="189"/>
      <c r="T64" s="189"/>
      <c r="U64" s="189"/>
      <c r="V64" s="189"/>
      <c r="W64" s="190" t="s">
        <v>119</v>
      </c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2"/>
    </row>
    <row r="65" spans="2:36" x14ac:dyDescent="0.3">
      <c r="O65" s="188" t="str">
        <f>IF(W64="Period Certain","Select period certain (n) =&gt;","")</f>
        <v>Select period certain (n) =&gt;</v>
      </c>
      <c r="P65" s="189"/>
      <c r="Q65" s="189"/>
      <c r="R65" s="189"/>
      <c r="S65" s="189"/>
      <c r="T65" s="189"/>
      <c r="U65" s="189"/>
      <c r="V65" s="189"/>
      <c r="W65" s="193">
        <v>10</v>
      </c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194"/>
    </row>
    <row r="66" spans="2:36" x14ac:dyDescent="0.3">
      <c r="B66" s="151" t="s">
        <v>120</v>
      </c>
      <c r="C66" s="195" t="s">
        <v>121</v>
      </c>
      <c r="O66" s="188" t="s">
        <v>122</v>
      </c>
      <c r="P66" s="189"/>
      <c r="Q66" s="189"/>
      <c r="R66" s="189"/>
      <c r="S66" s="189"/>
      <c r="T66" s="189"/>
      <c r="U66" s="189"/>
      <c r="V66" s="189"/>
      <c r="W66" s="190" t="s">
        <v>123</v>
      </c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194"/>
    </row>
    <row r="67" spans="2:36" x14ac:dyDescent="0.3">
      <c r="B67" s="157" t="s">
        <v>124</v>
      </c>
      <c r="C67" s="187">
        <v>0.05</v>
      </c>
      <c r="O67" s="188" t="s">
        <v>125</v>
      </c>
      <c r="P67" s="189"/>
      <c r="Q67" s="189"/>
      <c r="R67" s="189"/>
      <c r="S67" s="189"/>
      <c r="T67" s="189"/>
      <c r="U67" s="189"/>
      <c r="V67" s="189"/>
      <c r="W67" s="187">
        <v>1.4999999999999999E-2</v>
      </c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194"/>
    </row>
    <row r="68" spans="2:36" x14ac:dyDescent="0.3">
      <c r="O68" s="196" t="s">
        <v>126</v>
      </c>
      <c r="P68" s="197"/>
      <c r="Q68" s="197"/>
      <c r="R68" s="197"/>
      <c r="S68" s="197"/>
      <c r="T68" s="197"/>
      <c r="U68" s="197"/>
      <c r="V68" s="197"/>
      <c r="W68" s="159">
        <f>MIN(MatAge,MAX(IssAge1+10,70))</f>
        <v>83</v>
      </c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194"/>
    </row>
    <row r="69" spans="2:36" x14ac:dyDescent="0.3">
      <c r="B69" s="151" t="s">
        <v>35</v>
      </c>
      <c r="C69" s="198" t="str">
        <f>VLOOKUP(Product,Ref!$B$4:$U$48,6,FALSE)</f>
        <v>No</v>
      </c>
      <c r="O69" s="199" t="str">
        <f>"Effective "&amp;W66&amp;" Interest Rate"</f>
        <v>Effective Monthly Interest Rate</v>
      </c>
      <c r="P69" s="200"/>
      <c r="Q69" s="200"/>
      <c r="R69" s="200"/>
      <c r="S69" s="200"/>
      <c r="T69" s="200"/>
      <c r="U69" s="200"/>
      <c r="V69" s="200"/>
      <c r="W69" s="201">
        <f>(1+W67)^(1/VLOOKUP(W66,Ref!$Y$86:$Z$89,2,FALSE))-1</f>
        <v>1.2414877164492744E-3</v>
      </c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194"/>
    </row>
    <row r="70" spans="2:36" ht="15" x14ac:dyDescent="0.3">
      <c r="B70" s="153" t="s">
        <v>55</v>
      </c>
      <c r="C70" s="202">
        <f>Ref!$C$100</f>
        <v>0</v>
      </c>
      <c r="O70" s="203" t="s">
        <v>127</v>
      </c>
      <c r="P70" s="204"/>
      <c r="Q70" s="204"/>
      <c r="R70" s="204"/>
      <c r="S70" s="204"/>
      <c r="T70" s="204"/>
      <c r="U70" s="204"/>
      <c r="V70" s="204"/>
      <c r="W70" s="205">
        <f>W69*VLOOKUP(W66,Ref!$Y$86:$Z$89,2,FALSE)</f>
        <v>1.4897852597391292E-2</v>
      </c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194"/>
    </row>
    <row r="71" spans="2:36" x14ac:dyDescent="0.3">
      <c r="B71" s="153" t="s">
        <v>128</v>
      </c>
      <c r="C71" s="206">
        <f>Ref!$C$116</f>
        <v>0.1</v>
      </c>
      <c r="O71" s="203" t="s">
        <v>129</v>
      </c>
      <c r="P71" s="204"/>
      <c r="Q71" s="204"/>
      <c r="R71" s="204"/>
      <c r="S71" s="204"/>
      <c r="T71" s="204"/>
      <c r="U71" s="204"/>
      <c r="V71" s="204"/>
      <c r="W71" s="205">
        <f>W67/(1+W67)</f>
        <v>1.477832512315271E-2</v>
      </c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194"/>
    </row>
    <row r="72" spans="2:36" ht="15" x14ac:dyDescent="0.3">
      <c r="B72" s="153" t="s">
        <v>130</v>
      </c>
      <c r="C72" s="207">
        <v>1</v>
      </c>
      <c r="O72" s="203" t="s">
        <v>131</v>
      </c>
      <c r="P72" s="204"/>
      <c r="Q72" s="204"/>
      <c r="R72" s="204"/>
      <c r="S72" s="204"/>
      <c r="T72" s="204"/>
      <c r="U72" s="204"/>
      <c r="V72" s="204"/>
      <c r="W72" s="205">
        <f>VLOOKUP(W66,Ref!$Y$86:$Z$89,2,FALSE)*(1-W73^(1/VLOOKUP(W66,Ref!$Y$86:$Z$89,2,FALSE)))</f>
        <v>1.4879380029855671E-2</v>
      </c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194"/>
    </row>
    <row r="73" spans="2:36" x14ac:dyDescent="0.3">
      <c r="B73" s="153" t="s">
        <v>132</v>
      </c>
      <c r="C73" s="208">
        <v>1</v>
      </c>
      <c r="O73" s="203" t="s">
        <v>133</v>
      </c>
      <c r="P73" s="204"/>
      <c r="Q73" s="204"/>
      <c r="R73" s="204"/>
      <c r="S73" s="204"/>
      <c r="T73" s="204"/>
      <c r="U73" s="204"/>
      <c r="V73" s="204"/>
      <c r="W73" s="209">
        <f>1/(1+W67)</f>
        <v>0.98522167487684742</v>
      </c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194"/>
    </row>
    <row r="74" spans="2:36" ht="15.6" x14ac:dyDescent="0.3">
      <c r="B74" s="157" t="s">
        <v>134</v>
      </c>
      <c r="C74" s="210">
        <f>IF(Election="Joint Life",MIN(IssAge1,IssAge2)+LIADur,IssAge1+LIADur)</f>
        <v>74</v>
      </c>
      <c r="O74" s="211" t="s">
        <v>135</v>
      </c>
      <c r="P74" s="212"/>
      <c r="Q74" s="212"/>
      <c r="R74" s="212"/>
      <c r="S74" s="212"/>
      <c r="T74" s="212"/>
      <c r="U74" s="212"/>
      <c r="V74" s="212"/>
      <c r="W74" s="213">
        <f>IFERROR((1-W73^W65)/W72,"-")</f>
        <v>9.2969443619457994</v>
      </c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4"/>
    </row>
    <row r="75" spans="2:36" x14ac:dyDescent="0.3">
      <c r="O75" s="214" t="s">
        <v>136</v>
      </c>
      <c r="P75" s="212"/>
      <c r="Q75" s="212"/>
      <c r="R75" s="212"/>
      <c r="S75" s="212"/>
      <c r="T75" s="212"/>
      <c r="U75" s="212"/>
      <c r="V75" s="212"/>
      <c r="W75" s="215">
        <v>134391.63793441217</v>
      </c>
      <c r="X75" s="548" t="s">
        <v>137</v>
      </c>
      <c r="Y75" s="549"/>
      <c r="Z75" s="549"/>
      <c r="AA75" s="549"/>
      <c r="AB75" s="549"/>
      <c r="AC75" s="549"/>
      <c r="AD75" s="549"/>
      <c r="AE75" s="549"/>
      <c r="AF75" s="549"/>
      <c r="AG75" s="549"/>
      <c r="AH75" s="549"/>
      <c r="AI75" s="550"/>
      <c r="AJ75" s="216" t="str">
        <f>IF(Summary="Constant Growth",MAX(VLOOKUP(AnnAge-IssAge1,$O$11:$AJ$58,7,FALSE), VLOOKUP(AnnAge-IssAge1,$O$11:$AJ$58,9,FALSE)),"Select Constant Growth")</f>
        <v>Select Constant Growth</v>
      </c>
    </row>
    <row r="76" spans="2:36" x14ac:dyDescent="0.3">
      <c r="B76" s="151" t="s">
        <v>138</v>
      </c>
      <c r="C76" s="152" t="s">
        <v>73</v>
      </c>
      <c r="O76" s="157" t="s">
        <v>139</v>
      </c>
      <c r="P76" s="217"/>
      <c r="Q76" s="217"/>
      <c r="R76" s="217"/>
      <c r="S76" s="217"/>
      <c r="T76" s="217"/>
      <c r="U76" s="217"/>
      <c r="V76" s="217"/>
      <c r="W76" s="218">
        <v>162100.15450199996</v>
      </c>
      <c r="X76" s="551" t="s">
        <v>140</v>
      </c>
      <c r="Y76" s="552"/>
      <c r="Z76" s="552"/>
      <c r="AA76" s="552"/>
      <c r="AB76" s="552"/>
      <c r="AC76" s="552"/>
      <c r="AD76" s="552"/>
      <c r="AE76" s="552"/>
      <c r="AF76" s="552"/>
      <c r="AG76" s="552"/>
      <c r="AH76" s="552"/>
      <c r="AI76" s="553"/>
      <c r="AJ76" s="219" t="e">
        <f ca="1">IF(Summary="Specific",MAX(VLOOKUP(AnnAge-IssAge1,$O$11:$AJ$58,7,FALSE), VLOOKUP(AnnAge-IssAge1,$O$11:$AJ$58,9,FALSE)),"Select Specific")</f>
        <v>#REF!</v>
      </c>
    </row>
    <row r="77" spans="2:36" x14ac:dyDescent="0.3">
      <c r="B77" s="153" t="s">
        <v>141</v>
      </c>
      <c r="C77" s="154" t="s">
        <v>142</v>
      </c>
      <c r="O77" s="220" t="s">
        <v>143</v>
      </c>
      <c r="P77" s="221"/>
      <c r="Q77" s="221"/>
      <c r="R77" s="221"/>
      <c r="S77" s="221"/>
      <c r="T77" s="221"/>
      <c r="U77" s="221"/>
      <c r="V77" s="222"/>
      <c r="W77" s="194"/>
      <c r="X77" s="223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2"/>
    </row>
    <row r="78" spans="2:36" x14ac:dyDescent="0.3">
      <c r="B78" s="224" t="s">
        <v>22</v>
      </c>
      <c r="C78" s="225">
        <v>500</v>
      </c>
      <c r="O78" s="226" t="str">
        <f>W66&amp;" / Annual Payment Amount Given Hypothetical Minimum Values per $1,000 of Account Value"</f>
        <v>Monthly / Annual Payment Amount Given Hypothetical Minimum Values per $1,000 of Account Value</v>
      </c>
      <c r="P78" s="227"/>
      <c r="Q78" s="227"/>
      <c r="R78" s="227"/>
      <c r="S78" s="227"/>
      <c r="T78" s="227"/>
      <c r="U78" s="227"/>
      <c r="V78" s="227"/>
      <c r="W78" s="228" t="str">
        <f>TEXT(1000/(W74*VLOOKUP(W66,Ref!$Y$86:$Z$89,2,FALSE)),"$#,###.00")&amp;" / "&amp;TEXT(1000/(W74),"$#,###.00")</f>
        <v>$8.96 / $107.56</v>
      </c>
      <c r="X78" s="59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194"/>
    </row>
    <row r="79" spans="2:36" x14ac:dyDescent="0.3">
      <c r="B79" s="224" t="s">
        <v>144</v>
      </c>
      <c r="C79" s="229">
        <v>0.05</v>
      </c>
      <c r="O79" s="230" t="str">
        <f>W66&amp;" / Annual Payment Amount Given Hypothetical Current Values per $1,000 of Account Value"</f>
        <v>Monthly / Annual Payment Amount Given Hypothetical Current Values per $1,000 of Account Value</v>
      </c>
      <c r="P79" s="217"/>
      <c r="Q79" s="217"/>
      <c r="R79" s="217"/>
      <c r="S79" s="217"/>
      <c r="T79" s="217"/>
      <c r="U79" s="217"/>
      <c r="V79" s="217"/>
      <c r="W79" s="231" t="str">
        <f>TEXT(1000/(W74*VLOOKUP(W66,Ref!$Y$86:$Z$89,2,FALSE)),"$#,###.00")&amp;" / "&amp;TEXT(1000/(W74),"$#,###.00")</f>
        <v>$8.96 / $107.56</v>
      </c>
      <c r="X79" s="59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194"/>
    </row>
    <row r="80" spans="2:36" x14ac:dyDescent="0.3">
      <c r="B80" s="224" t="s">
        <v>145</v>
      </c>
      <c r="C80" s="225">
        <v>0</v>
      </c>
      <c r="O80" s="220"/>
      <c r="P80" s="221"/>
      <c r="Q80" s="221"/>
      <c r="R80" s="221"/>
      <c r="S80" s="221"/>
      <c r="T80" s="221"/>
      <c r="U80" s="221"/>
      <c r="V80" s="221"/>
      <c r="W80" s="232"/>
      <c r="X80" s="59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194"/>
    </row>
    <row r="81" spans="2:36" x14ac:dyDescent="0.3">
      <c r="B81" s="233" t="s">
        <v>146</v>
      </c>
      <c r="C81" s="234">
        <v>29</v>
      </c>
      <c r="O81" s="226" t="str">
        <f>W66&amp;" / Annual Payment Amount Given Hypothetical Minimum Values"</f>
        <v>Monthly / Annual Payment Amount Given Hypothetical Minimum Values</v>
      </c>
      <c r="P81" s="227"/>
      <c r="Q81" s="227"/>
      <c r="R81" s="227"/>
      <c r="S81" s="227"/>
      <c r="T81" s="227"/>
      <c r="U81" s="227"/>
      <c r="V81" s="227"/>
      <c r="W81" s="235" t="str">
        <f>TEXT(W75/(W74*VLOOKUP(W66,Ref!$Y$86:$Z$89,2,FALSE)),"$#,###.00")&amp;" / "&amp;TEXT(W75/W74,"$#,###.00")</f>
        <v>$1,204.62 / $14,455.46</v>
      </c>
      <c r="X81" s="59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194"/>
    </row>
    <row r="82" spans="2:36" x14ac:dyDescent="0.3">
      <c r="B82" s="554" t="str">
        <f>IF(SWMode="FWD***","***Amount is limited to "&amp;TEXT(FWD,"0.00%")&amp;" of available Contract Value","")</f>
        <v/>
      </c>
      <c r="C82" s="555"/>
      <c r="O82" s="230" t="str">
        <f>W66&amp;" / Annual Payment Amount Given Hypothetical Current Values"</f>
        <v>Monthly / Annual Payment Amount Given Hypothetical Current Values</v>
      </c>
      <c r="P82" s="217"/>
      <c r="Q82" s="217"/>
      <c r="R82" s="217"/>
      <c r="S82" s="217"/>
      <c r="T82" s="217"/>
      <c r="U82" s="217"/>
      <c r="V82" s="217"/>
      <c r="W82" s="236" t="str">
        <f>TEXT(W76/(W74*VLOOKUP(W66,Ref!$Y$86:$Z$89,2,FALSE)),"$#,###.00")&amp;" / "&amp;TEXT(W76/W74,"$#,###.00")</f>
        <v>$1,452.99 / $17,435.85</v>
      </c>
      <c r="X82" s="59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194"/>
    </row>
    <row r="83" spans="2:36" x14ac:dyDescent="0.3">
      <c r="O83" s="220" t="s">
        <v>147</v>
      </c>
      <c r="P83" s="221"/>
      <c r="Q83" s="221"/>
      <c r="R83" s="221"/>
      <c r="S83" s="221"/>
      <c r="T83" s="221"/>
      <c r="U83" s="221"/>
      <c r="V83" s="221"/>
      <c r="W83" s="232"/>
      <c r="X83" s="237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4"/>
    </row>
    <row r="84" spans="2:36" x14ac:dyDescent="0.3">
      <c r="B84" s="151" t="s">
        <v>148</v>
      </c>
      <c r="C84" s="198" t="str">
        <f>IFERROR(IF(VLOOKUP(Product,Ref!$AL$67:$AL$105,1,FALSE)=Product,"Available","Not Available"),"Not Available")</f>
        <v>Not Available</v>
      </c>
    </row>
    <row r="85" spans="2:36" x14ac:dyDescent="0.3">
      <c r="B85" s="157" t="s">
        <v>149</v>
      </c>
      <c r="C85" s="238" cm="1">
        <f t="array" ref="C85">IFERROR(INDEX(Ref!$AN$67:$AO$105,MATCH(Product&amp;"|"&amp;LivBen,Ref!$AL$67:$AL$105&amp;"|"&amp;Ref!$AM$67:$AM$105,0),MATCH(Election,Ref!$AN$66:$AO$66,0)),0)</f>
        <v>0</v>
      </c>
    </row>
    <row r="87" spans="2:36" x14ac:dyDescent="0.3">
      <c r="B87" s="151" t="s">
        <v>68</v>
      </c>
      <c r="C87" s="239">
        <v>8.0000000000000002E-3</v>
      </c>
    </row>
    <row r="88" spans="2:36" x14ac:dyDescent="0.3">
      <c r="B88" s="153" t="s">
        <v>150</v>
      </c>
      <c r="C88" s="240">
        <v>2</v>
      </c>
    </row>
    <row r="89" spans="2:36" x14ac:dyDescent="0.3">
      <c r="B89" s="157" t="s">
        <v>151</v>
      </c>
      <c r="C89" s="241">
        <v>1</v>
      </c>
    </row>
    <row r="90" spans="2:36" x14ac:dyDescent="0.3">
      <c r="B90" s="242"/>
      <c r="C90" s="243"/>
    </row>
    <row r="91" spans="2:36" x14ac:dyDescent="0.3">
      <c r="B91" s="151" t="s">
        <v>152</v>
      </c>
      <c r="C91" s="244">
        <f>Ref!$C$97</f>
        <v>0</v>
      </c>
    </row>
    <row r="92" spans="2:36" x14ac:dyDescent="0.3">
      <c r="B92" s="153" t="s">
        <v>153</v>
      </c>
      <c r="C92" s="208">
        <v>100</v>
      </c>
    </row>
    <row r="93" spans="2:36" x14ac:dyDescent="0.3">
      <c r="B93" s="153" t="s">
        <v>154</v>
      </c>
      <c r="C93" s="207">
        <v>2</v>
      </c>
    </row>
    <row r="94" spans="2:36" x14ac:dyDescent="0.3">
      <c r="B94" s="153" t="s">
        <v>155</v>
      </c>
      <c r="C94" s="207">
        <v>1</v>
      </c>
    </row>
    <row r="95" spans="2:36" x14ac:dyDescent="0.3">
      <c r="B95" s="153" t="s">
        <v>156</v>
      </c>
      <c r="C95" s="207">
        <v>1</v>
      </c>
    </row>
    <row r="96" spans="2:36" x14ac:dyDescent="0.3">
      <c r="B96" s="157" t="s">
        <v>157</v>
      </c>
      <c r="C96" s="245">
        <v>1</v>
      </c>
    </row>
    <row r="98" spans="2:14" x14ac:dyDescent="0.3">
      <c r="B98" s="246" t="s">
        <v>56</v>
      </c>
      <c r="C98" s="247">
        <v>0</v>
      </c>
    </row>
    <row r="99" spans="2:14" x14ac:dyDescent="0.3">
      <c r="N99" s="13"/>
    </row>
    <row r="100" spans="2:14" x14ac:dyDescent="0.3">
      <c r="B100" s="151" t="s">
        <v>158</v>
      </c>
      <c r="C100" s="248">
        <f>Ref!$C$122</f>
        <v>1</v>
      </c>
      <c r="N100" s="13"/>
    </row>
    <row r="101" spans="2:14" ht="12.3" customHeight="1" x14ac:dyDescent="0.3">
      <c r="B101" s="153" t="s">
        <v>159</v>
      </c>
      <c r="C101" s="249">
        <f>Ref!$C$125</f>
        <v>0</v>
      </c>
      <c r="N101" s="13"/>
    </row>
    <row r="102" spans="2:14" x14ac:dyDescent="0.3">
      <c r="B102" s="157" t="s">
        <v>160</v>
      </c>
      <c r="C102" s="250">
        <v>10</v>
      </c>
      <c r="N102" s="13"/>
    </row>
    <row r="103" spans="2:14" x14ac:dyDescent="0.3">
      <c r="N103" s="13"/>
    </row>
    <row r="104" spans="2:14" ht="15.6" x14ac:dyDescent="0.3">
      <c r="B104" s="251" t="s">
        <v>161</v>
      </c>
      <c r="C104" s="252" t="s">
        <v>8</v>
      </c>
      <c r="E104" s="556" t="s">
        <v>162</v>
      </c>
      <c r="G104" s="253"/>
      <c r="H104" s="254"/>
      <c r="I104" s="254"/>
      <c r="J104" s="254"/>
      <c r="K104" s="255"/>
      <c r="N104" s="13"/>
    </row>
    <row r="105" spans="2:14" ht="15.6" x14ac:dyDescent="0.3">
      <c r="B105" s="559" t="s">
        <v>163</v>
      </c>
      <c r="C105" s="560"/>
      <c r="E105" s="557"/>
      <c r="G105" s="256"/>
      <c r="H105" s="257"/>
      <c r="I105" s="257"/>
      <c r="J105" s="257"/>
      <c r="K105" s="258"/>
      <c r="N105" s="13"/>
    </row>
    <row r="106" spans="2:14" ht="15.6" x14ac:dyDescent="0.3">
      <c r="B106" s="561" t="str">
        <f>IF(SUM($E$109:$E$137)&gt;1,"!!! If Check-a-Box is chosen, 100% has to be allocated to a single option !!!","")</f>
        <v/>
      </c>
      <c r="C106" s="562"/>
      <c r="E106" s="557"/>
      <c r="G106" s="256"/>
      <c r="H106" s="257"/>
      <c r="I106" s="257"/>
      <c r="J106" s="257"/>
      <c r="K106" s="258"/>
      <c r="N106" s="13"/>
    </row>
    <row r="107" spans="2:14" x14ac:dyDescent="0.3">
      <c r="B107" s="259" t="s">
        <v>164</v>
      </c>
      <c r="C107" s="260" t="str">
        <f>IF(SUM(C108:C137)=1,CHAR(252),"N")</f>
        <v>ü</v>
      </c>
      <c r="E107" s="557"/>
      <c r="G107" s="256"/>
      <c r="H107" s="257"/>
      <c r="I107" s="257"/>
      <c r="J107" s="257"/>
      <c r="K107" s="258"/>
      <c r="N107" s="13"/>
    </row>
    <row r="108" spans="2:14" x14ac:dyDescent="0.3">
      <c r="B108" s="261" t="str" cm="1">
        <f t="array" ref="B108:B123">_xlfn.UNIQUE(_xlfn._xlws.FILTER(INDEX([1]STRTG!$AG$14:$CB$43,0,MATCH(Product,[1]STRTG!$AG$13:$CB$13,0)),INDEX([1]STRTG!$AG$14:$CB$43,0,MATCH(Product,[1]STRTG!$AG$13:$CB$13,0))&lt;&gt;""))</f>
        <v>1-Year Fixed Rate, Fixed Account</v>
      </c>
      <c r="C108" s="263">
        <v>0</v>
      </c>
      <c r="E108" s="558"/>
      <c r="G108" s="256"/>
      <c r="H108" s="257"/>
      <c r="I108" s="257"/>
      <c r="J108" s="257"/>
      <c r="K108" s="258"/>
      <c r="N108" s="13"/>
    </row>
    <row r="109" spans="2:14" x14ac:dyDescent="0.3">
      <c r="B109" s="262" t="str">
        <v>Check-a-Box Option 1</v>
      </c>
      <c r="C109" s="264">
        <v>0</v>
      </c>
      <c r="E109" s="265">
        <f t="shared" ref="E109:E137" si="736">IF(AND(LEFT($B109,5)="Check",$C109=1),1,0)</f>
        <v>0</v>
      </c>
      <c r="G109" s="256"/>
      <c r="H109" s="257"/>
      <c r="I109" s="257"/>
      <c r="J109" s="257"/>
      <c r="K109" s="258"/>
      <c r="N109" s="13"/>
    </row>
    <row r="110" spans="2:14" x14ac:dyDescent="0.3">
      <c r="B110" s="203" t="str">
        <v>Check-a-Box Option 2</v>
      </c>
      <c r="C110" s="266">
        <v>0</v>
      </c>
      <c r="E110" s="267">
        <f t="shared" si="736"/>
        <v>0</v>
      </c>
      <c r="G110" s="256"/>
      <c r="H110" s="257"/>
      <c r="I110" s="257"/>
      <c r="J110" s="257"/>
      <c r="K110" s="258"/>
      <c r="N110" s="13"/>
    </row>
    <row r="111" spans="2:14" x14ac:dyDescent="0.3">
      <c r="B111" s="203" t="str">
        <v>Check-a-Box Option 3</v>
      </c>
      <c r="C111" s="266">
        <v>0</v>
      </c>
      <c r="E111" s="267">
        <f t="shared" si="736"/>
        <v>0</v>
      </c>
      <c r="G111" s="256"/>
      <c r="H111" s="257"/>
      <c r="I111" s="257"/>
      <c r="J111" s="257"/>
      <c r="K111" s="258"/>
      <c r="N111" s="13"/>
    </row>
    <row r="112" spans="2:14" x14ac:dyDescent="0.3">
      <c r="B112" s="203" t="str">
        <v>Check-a-Box Option 4</v>
      </c>
      <c r="C112" s="266">
        <v>0</v>
      </c>
      <c r="E112" s="267">
        <f t="shared" si="736"/>
        <v>0</v>
      </c>
      <c r="G112" s="256"/>
      <c r="H112" s="257"/>
      <c r="I112" s="257"/>
      <c r="J112" s="257"/>
      <c r="K112" s="258"/>
      <c r="N112" s="13"/>
    </row>
    <row r="113" spans="2:14" x14ac:dyDescent="0.3">
      <c r="B113" s="203" t="str">
        <v>Check-a-Box Option 5</v>
      </c>
      <c r="C113" s="266">
        <v>1</v>
      </c>
      <c r="E113" s="267">
        <f t="shared" si="736"/>
        <v>1</v>
      </c>
      <c r="G113" s="256"/>
      <c r="H113" s="257"/>
      <c r="I113" s="257"/>
      <c r="J113" s="257"/>
      <c r="K113" s="258"/>
      <c r="N113" s="13"/>
    </row>
    <row r="114" spans="2:14" x14ac:dyDescent="0.3">
      <c r="B114" s="203" t="str">
        <v>1-Year Performance-Triggered Account, S&amp;P 500</v>
      </c>
      <c r="C114" s="266">
        <v>0</v>
      </c>
      <c r="E114" s="267">
        <f t="shared" si="736"/>
        <v>0</v>
      </c>
      <c r="G114" s="256"/>
      <c r="H114" s="257"/>
      <c r="I114" s="257"/>
      <c r="J114" s="257"/>
      <c r="K114" s="258"/>
      <c r="N114" s="13"/>
    </row>
    <row r="115" spans="2:14" x14ac:dyDescent="0.3">
      <c r="B115" s="203" t="str">
        <v>1-Year PTP with Cap, MSCI</v>
      </c>
      <c r="C115" s="266">
        <v>0</v>
      </c>
      <c r="E115" s="267">
        <f t="shared" si="736"/>
        <v>0</v>
      </c>
      <c r="G115" s="256"/>
      <c r="H115" s="257"/>
      <c r="I115" s="257"/>
      <c r="J115" s="257"/>
      <c r="K115" s="258"/>
      <c r="N115" s="13"/>
    </row>
    <row r="116" spans="2:14" x14ac:dyDescent="0.3">
      <c r="B116" s="203" t="str">
        <v>1-Year PTP with Cap, Russell 2000</v>
      </c>
      <c r="C116" s="266">
        <v>0</v>
      </c>
      <c r="E116" s="267">
        <f t="shared" si="736"/>
        <v>0</v>
      </c>
      <c r="G116" s="256"/>
      <c r="H116" s="257"/>
      <c r="I116" s="257"/>
      <c r="J116" s="257"/>
      <c r="K116" s="258"/>
      <c r="N116" s="13"/>
    </row>
    <row r="117" spans="2:14" x14ac:dyDescent="0.3">
      <c r="B117" s="203" t="str">
        <v>1-Year PTP with Cap, S&amp;P 500</v>
      </c>
      <c r="C117" s="266">
        <v>0</v>
      </c>
      <c r="E117" s="267">
        <f t="shared" si="736"/>
        <v>0</v>
      </c>
      <c r="G117" s="256"/>
      <c r="H117" s="257"/>
      <c r="I117" s="257"/>
      <c r="J117" s="257"/>
      <c r="K117" s="258"/>
      <c r="N117" s="13"/>
    </row>
    <row r="118" spans="2:14" x14ac:dyDescent="0.3">
      <c r="B118" s="203" t="str">
        <v>1-Year PTP with Secure Cap, S&amp;P 500</v>
      </c>
      <c r="C118" s="266">
        <v>0</v>
      </c>
      <c r="E118" s="267">
        <f t="shared" si="736"/>
        <v>0</v>
      </c>
      <c r="G118" s="256"/>
      <c r="H118" s="257"/>
      <c r="I118" s="257"/>
      <c r="J118" s="257"/>
      <c r="K118" s="258"/>
      <c r="N118" s="13"/>
    </row>
    <row r="119" spans="2:14" x14ac:dyDescent="0.3">
      <c r="B119" s="203" t="str">
        <v>1-Year PTP with ParRate, Franklin</v>
      </c>
      <c r="C119" s="266">
        <v>0</v>
      </c>
      <c r="E119" s="267">
        <f t="shared" si="736"/>
        <v>0</v>
      </c>
      <c r="G119" s="256"/>
      <c r="H119" s="257"/>
      <c r="I119" s="257"/>
      <c r="J119" s="257"/>
      <c r="K119" s="258"/>
      <c r="N119" s="13"/>
    </row>
    <row r="120" spans="2:14" x14ac:dyDescent="0.3">
      <c r="B120" s="203" t="str">
        <v>1-Year PTP with ParRate, MLSB</v>
      </c>
      <c r="C120" s="266">
        <v>0</v>
      </c>
      <c r="E120" s="267">
        <f t="shared" si="736"/>
        <v>0</v>
      </c>
      <c r="G120" s="256"/>
      <c r="H120" s="257"/>
      <c r="I120" s="257"/>
      <c r="J120" s="257"/>
      <c r="K120" s="258"/>
      <c r="N120" s="13"/>
    </row>
    <row r="121" spans="2:14" x14ac:dyDescent="0.3">
      <c r="B121" s="203" t="str">
        <v>1-Year PTP with ParRate, PIMCO Global Optima</v>
      </c>
      <c r="C121" s="266">
        <v>0</v>
      </c>
      <c r="E121" s="267">
        <f t="shared" si="736"/>
        <v>0</v>
      </c>
      <c r="G121" s="256"/>
      <c r="H121" s="257"/>
      <c r="I121" s="257"/>
      <c r="J121" s="257"/>
      <c r="K121" s="258"/>
      <c r="N121" s="13"/>
    </row>
    <row r="122" spans="2:14" x14ac:dyDescent="0.3">
      <c r="B122" s="203" t="str">
        <v>1-Year PTP with ParRate, S&amp;P 500</v>
      </c>
      <c r="C122" s="266">
        <v>0</v>
      </c>
      <c r="E122" s="267">
        <f t="shared" si="736"/>
        <v>0</v>
      </c>
      <c r="G122" s="256"/>
      <c r="H122" s="257"/>
      <c r="I122" s="257"/>
      <c r="J122" s="257"/>
      <c r="K122" s="258"/>
      <c r="N122" s="13"/>
    </row>
    <row r="123" spans="2:14" x14ac:dyDescent="0.3">
      <c r="B123" s="203" t="str">
        <v>5-Year PTP with Cap, S&amp;P 500</v>
      </c>
      <c r="C123" s="266">
        <v>0</v>
      </c>
      <c r="E123" s="267">
        <f t="shared" si="736"/>
        <v>0</v>
      </c>
      <c r="G123" s="256"/>
      <c r="H123" s="257"/>
      <c r="I123" s="257"/>
      <c r="J123" s="257"/>
      <c r="K123" s="258"/>
      <c r="N123" s="13"/>
    </row>
    <row r="124" spans="2:14" x14ac:dyDescent="0.3">
      <c r="B124" s="203"/>
      <c r="C124" s="266">
        <v>0</v>
      </c>
      <c r="E124" s="267">
        <f t="shared" si="736"/>
        <v>0</v>
      </c>
      <c r="G124" s="256"/>
      <c r="H124" s="257"/>
      <c r="I124" s="257"/>
      <c r="J124" s="257"/>
      <c r="K124" s="258"/>
      <c r="N124" s="13"/>
    </row>
    <row r="125" spans="2:14" x14ac:dyDescent="0.3">
      <c r="B125" s="203"/>
      <c r="C125" s="266">
        <v>0</v>
      </c>
      <c r="E125" s="267">
        <f t="shared" si="736"/>
        <v>0</v>
      </c>
      <c r="G125" s="256"/>
      <c r="H125" s="257"/>
      <c r="I125" s="257"/>
      <c r="J125" s="257"/>
      <c r="K125" s="258"/>
      <c r="N125" s="13"/>
    </row>
    <row r="126" spans="2:14" x14ac:dyDescent="0.3">
      <c r="B126" s="203"/>
      <c r="C126" s="266">
        <v>0</v>
      </c>
      <c r="E126" s="267">
        <f t="shared" si="736"/>
        <v>0</v>
      </c>
      <c r="G126" s="256"/>
      <c r="H126" s="257"/>
      <c r="I126" s="257"/>
      <c r="J126" s="257"/>
      <c r="K126" s="258"/>
      <c r="N126" s="13"/>
    </row>
    <row r="127" spans="2:14" x14ac:dyDescent="0.3">
      <c r="B127" s="203"/>
      <c r="C127" s="266">
        <v>0</v>
      </c>
      <c r="E127" s="267">
        <f t="shared" si="736"/>
        <v>0</v>
      </c>
      <c r="G127" s="256"/>
      <c r="H127" s="257"/>
      <c r="I127" s="257"/>
      <c r="J127" s="257"/>
      <c r="K127" s="258"/>
      <c r="N127" s="13"/>
    </row>
    <row r="128" spans="2:14" x14ac:dyDescent="0.3">
      <c r="B128" s="203"/>
      <c r="C128" s="266">
        <v>0</v>
      </c>
      <c r="E128" s="267">
        <f t="shared" si="736"/>
        <v>0</v>
      </c>
      <c r="G128" s="256"/>
      <c r="H128" s="257"/>
      <c r="I128" s="257"/>
      <c r="J128" s="257"/>
      <c r="K128" s="258"/>
      <c r="N128" s="13"/>
    </row>
    <row r="129" spans="2:14" x14ac:dyDescent="0.3">
      <c r="B129" s="203"/>
      <c r="C129" s="266">
        <v>0</v>
      </c>
      <c r="E129" s="267">
        <f t="shared" si="736"/>
        <v>0</v>
      </c>
      <c r="G129" s="256"/>
      <c r="H129" s="257"/>
      <c r="I129" s="257"/>
      <c r="J129" s="257"/>
      <c r="K129" s="258"/>
      <c r="N129" s="13"/>
    </row>
    <row r="130" spans="2:14" x14ac:dyDescent="0.3">
      <c r="B130" s="203"/>
      <c r="C130" s="266">
        <v>0</v>
      </c>
      <c r="E130" s="267">
        <f t="shared" si="736"/>
        <v>0</v>
      </c>
      <c r="G130" s="256"/>
      <c r="H130" s="257"/>
      <c r="I130" s="257"/>
      <c r="J130" s="257"/>
      <c r="K130" s="258"/>
      <c r="N130" s="13"/>
    </row>
    <row r="131" spans="2:14" x14ac:dyDescent="0.3">
      <c r="B131" s="203"/>
      <c r="C131" s="266">
        <v>0</v>
      </c>
      <c r="E131" s="267">
        <f t="shared" si="736"/>
        <v>0</v>
      </c>
      <c r="G131" s="256"/>
      <c r="H131" s="257"/>
      <c r="I131" s="257"/>
      <c r="J131" s="257"/>
      <c r="K131" s="258"/>
      <c r="N131" s="13"/>
    </row>
    <row r="132" spans="2:14" x14ac:dyDescent="0.3">
      <c r="B132" s="203"/>
      <c r="C132" s="266">
        <v>0</v>
      </c>
      <c r="E132" s="267">
        <f t="shared" si="736"/>
        <v>0</v>
      </c>
      <c r="G132" s="256"/>
      <c r="H132" s="257"/>
      <c r="I132" s="257"/>
      <c r="J132" s="257"/>
      <c r="K132" s="258"/>
      <c r="N132" s="13"/>
    </row>
    <row r="133" spans="2:14" x14ac:dyDescent="0.3">
      <c r="B133" s="203"/>
      <c r="C133" s="266">
        <v>0</v>
      </c>
      <c r="E133" s="267">
        <f t="shared" si="736"/>
        <v>0</v>
      </c>
      <c r="G133" s="256"/>
      <c r="H133" s="257"/>
      <c r="I133" s="257"/>
      <c r="J133" s="257"/>
      <c r="K133" s="258"/>
      <c r="N133" s="13"/>
    </row>
    <row r="134" spans="2:14" x14ac:dyDescent="0.3">
      <c r="B134" s="203"/>
      <c r="C134" s="266">
        <v>0</v>
      </c>
      <c r="E134" s="267">
        <f t="shared" si="736"/>
        <v>0</v>
      </c>
      <c r="G134" s="256"/>
      <c r="H134" s="257"/>
      <c r="I134" s="257"/>
      <c r="J134" s="257"/>
      <c r="K134" s="258"/>
      <c r="N134" s="13"/>
    </row>
    <row r="135" spans="2:14" x14ac:dyDescent="0.3">
      <c r="B135" s="203"/>
      <c r="C135" s="266">
        <v>0</v>
      </c>
      <c r="E135" s="267">
        <f t="shared" si="736"/>
        <v>0</v>
      </c>
      <c r="G135" s="256"/>
      <c r="H135" s="257"/>
      <c r="I135" s="257"/>
      <c r="J135" s="257"/>
      <c r="K135" s="258"/>
      <c r="N135" s="13"/>
    </row>
    <row r="136" spans="2:14" x14ac:dyDescent="0.3">
      <c r="B136" s="203"/>
      <c r="C136" s="266">
        <v>0</v>
      </c>
      <c r="E136" s="267">
        <f t="shared" si="736"/>
        <v>0</v>
      </c>
      <c r="G136" s="256"/>
      <c r="H136" s="257"/>
      <c r="I136" s="257"/>
      <c r="J136" s="257"/>
      <c r="K136" s="258"/>
      <c r="N136" s="13"/>
    </row>
    <row r="137" spans="2:14" x14ac:dyDescent="0.3">
      <c r="B137" s="268"/>
      <c r="C137" s="269">
        <v>0</v>
      </c>
      <c r="E137" s="270">
        <f t="shared" si="736"/>
        <v>0</v>
      </c>
      <c r="G137" s="271"/>
      <c r="H137" s="272"/>
      <c r="I137" s="272"/>
      <c r="J137" s="272"/>
      <c r="K137" s="273"/>
      <c r="N137" s="13"/>
    </row>
    <row r="138" spans="2:14" x14ac:dyDescent="0.3">
      <c r="N138" s="13"/>
    </row>
    <row r="139" spans="2:14" ht="15.6" x14ac:dyDescent="0.3">
      <c r="B139" s="535" t="s">
        <v>165</v>
      </c>
      <c r="C139" s="536"/>
      <c r="E139" s="537" t="s">
        <v>166</v>
      </c>
      <c r="F139" s="538"/>
      <c r="G139" s="538"/>
      <c r="H139" s="538"/>
      <c r="I139" s="538"/>
      <c r="J139" s="538"/>
      <c r="K139" s="539"/>
      <c r="N139" s="13"/>
    </row>
    <row r="140" spans="2:14" ht="15.6" x14ac:dyDescent="0.3">
      <c r="B140" s="543" t="s">
        <v>167</v>
      </c>
      <c r="C140" s="544"/>
      <c r="E140" s="540"/>
      <c r="F140" s="541"/>
      <c r="G140" s="541"/>
      <c r="H140" s="541"/>
      <c r="I140" s="541"/>
      <c r="J140" s="541"/>
      <c r="K140" s="542"/>
      <c r="N140" s="13"/>
    </row>
    <row r="141" spans="2:14" x14ac:dyDescent="0.3">
      <c r="B141" s="259" t="s">
        <v>164</v>
      </c>
      <c r="C141" s="260" t="str">
        <f>IF(SUM(C142:C171)=1,CHAR(252),"N")</f>
        <v>ü</v>
      </c>
      <c r="E141" s="274" t="s">
        <v>2</v>
      </c>
      <c r="F141" s="275" t="s">
        <v>4</v>
      </c>
      <c r="G141" s="275" t="s">
        <v>3</v>
      </c>
      <c r="H141" s="275" t="s">
        <v>6</v>
      </c>
      <c r="I141" s="275" t="s">
        <v>5</v>
      </c>
      <c r="J141" s="275" t="s">
        <v>168</v>
      </c>
      <c r="K141" s="276" t="s">
        <v>169</v>
      </c>
      <c r="N141" s="13"/>
    </row>
    <row r="142" spans="2:14" x14ac:dyDescent="0.3">
      <c r="B142" s="262" t="str" cm="1">
        <f t="array" ref="B142:B149">IF(SUM($E$109:$E$137)&gt;0,_xlfn._xlws.FILTER(_xlfn._xlws.FILTER([1]STRTG!$CG$14:$CP$103,([1]STRTG!$CF$14:$CF$103=Product)),([1]STRTG!$CG$13:$CP$13=INDEX($B$109:$B$137,MATCH(1,$E$109:$E$137,0),1))),_xlfn._xlws.FILTER($B$108:$B$137,$B$108:$B$137&lt;&gt;""))</f>
        <v>1-Year Fixed Rate, Fixed Account</v>
      </c>
      <c r="C142" s="277" cm="1">
        <f t="array" ref="C142:C149">IF(SUM($E$109:$E$137)&gt;0,_xlfn._xlws.FILTER(_xlfn._xlws.FILTER([1]STRTG!$CG$14:$CP$103,([1]STRTG!$CF$14:$CF$103=Product)),([1]STRTG!$CG$13:$CP$13="Allocation "&amp;RIGHT(INDEX($B$109:$B$137,MATCH(1,$E$109:$E$137,0),1),1))),_xlfn._xlws.FILTER($C$108:$C$137,$C$108:$C$137&lt;&gt;""))</f>
        <v>0.1</v>
      </c>
      <c r="E142" s="279"/>
      <c r="F142" s="280"/>
      <c r="G142" s="280"/>
      <c r="H142" s="280"/>
      <c r="I142" s="280"/>
      <c r="J142" s="280"/>
      <c r="K142" s="281"/>
      <c r="N142" s="13"/>
    </row>
    <row r="143" spans="2:14" x14ac:dyDescent="0.3">
      <c r="B143" s="203" t="str">
        <v>1-Year PTP with Secure Cap, S&amp;P 500</v>
      </c>
      <c r="C143" s="278">
        <v>0.4</v>
      </c>
      <c r="E143" s="282"/>
      <c r="F143" s="283"/>
      <c r="G143" s="283"/>
      <c r="H143" s="283"/>
      <c r="I143" s="283"/>
      <c r="J143" s="283"/>
      <c r="K143" s="284"/>
      <c r="N143" s="13"/>
    </row>
    <row r="144" spans="2:14" x14ac:dyDescent="0.3">
      <c r="B144" s="203" t="str">
        <v>1-Year PTP with Cap, S&amp;P 500</v>
      </c>
      <c r="C144" s="278">
        <v>0</v>
      </c>
      <c r="E144" s="282"/>
      <c r="F144" s="283"/>
      <c r="G144" s="283"/>
      <c r="H144" s="283"/>
      <c r="I144" s="283"/>
      <c r="J144" s="283"/>
      <c r="K144" s="284"/>
      <c r="N144" s="13"/>
    </row>
    <row r="145" spans="2:14" x14ac:dyDescent="0.3">
      <c r="B145" s="203" t="str">
        <v>5-Year PTP with Cap, S&amp;P 500</v>
      </c>
      <c r="C145" s="278">
        <v>0</v>
      </c>
      <c r="E145" s="282"/>
      <c r="F145" s="283"/>
      <c r="G145" s="283"/>
      <c r="H145" s="283"/>
      <c r="I145" s="283"/>
      <c r="J145" s="283"/>
      <c r="K145" s="284"/>
      <c r="N145" s="13"/>
    </row>
    <row r="146" spans="2:14" x14ac:dyDescent="0.3">
      <c r="B146" s="203" t="str">
        <v>1-Year PTP with Cap, Russell 2000</v>
      </c>
      <c r="C146" s="278">
        <v>0</v>
      </c>
      <c r="E146" s="282"/>
      <c r="F146" s="283"/>
      <c r="G146" s="283"/>
      <c r="H146" s="283"/>
      <c r="I146" s="283"/>
      <c r="J146" s="283"/>
      <c r="K146" s="284"/>
      <c r="N146" s="13"/>
    </row>
    <row r="147" spans="2:14" x14ac:dyDescent="0.3">
      <c r="B147" s="203" t="str">
        <v>1-Year PTP with Cap, MSCI</v>
      </c>
      <c r="C147" s="278">
        <v>0</v>
      </c>
      <c r="E147" s="282"/>
      <c r="F147" s="283"/>
      <c r="G147" s="283"/>
      <c r="H147" s="283"/>
      <c r="I147" s="283"/>
      <c r="J147" s="283"/>
      <c r="K147" s="284"/>
      <c r="N147" s="13"/>
    </row>
    <row r="148" spans="2:14" x14ac:dyDescent="0.3">
      <c r="B148" s="203" t="str">
        <v>1-Year PTP with Cap, PIMCO Global Optima</v>
      </c>
      <c r="C148" s="278">
        <v>0.1</v>
      </c>
      <c r="E148" s="282"/>
      <c r="F148" s="283"/>
      <c r="G148" s="283"/>
      <c r="H148" s="283"/>
      <c r="I148" s="283"/>
      <c r="J148" s="283"/>
      <c r="K148" s="284"/>
      <c r="N148" s="13"/>
    </row>
    <row r="149" spans="2:14" x14ac:dyDescent="0.3">
      <c r="B149" s="203" t="str">
        <v>1-Year PTP with ParRate, MLSB</v>
      </c>
      <c r="C149" s="278">
        <v>0.4</v>
      </c>
      <c r="E149" s="282"/>
      <c r="F149" s="283"/>
      <c r="G149" s="283"/>
      <c r="H149" s="283"/>
      <c r="I149" s="283"/>
      <c r="J149" s="283"/>
      <c r="K149" s="284"/>
      <c r="N149" s="13"/>
    </row>
    <row r="150" spans="2:14" x14ac:dyDescent="0.3">
      <c r="B150" s="203"/>
      <c r="C150" s="278"/>
      <c r="E150" s="282"/>
      <c r="F150" s="283"/>
      <c r="G150" s="283"/>
      <c r="H150" s="283"/>
      <c r="I150" s="283"/>
      <c r="J150" s="283"/>
      <c r="K150" s="284"/>
      <c r="N150" s="13"/>
    </row>
    <row r="151" spans="2:14" x14ac:dyDescent="0.3">
      <c r="B151" s="203"/>
      <c r="C151" s="278"/>
      <c r="E151" s="282"/>
      <c r="F151" s="283"/>
      <c r="G151" s="283"/>
      <c r="H151" s="283"/>
      <c r="I151" s="283"/>
      <c r="J151" s="283"/>
      <c r="K151" s="284"/>
      <c r="N151" s="13"/>
    </row>
    <row r="152" spans="2:14" x14ac:dyDescent="0.3">
      <c r="B152" s="203"/>
      <c r="C152" s="278"/>
      <c r="E152" s="282"/>
      <c r="F152" s="283"/>
      <c r="G152" s="283"/>
      <c r="H152" s="283"/>
      <c r="I152" s="283"/>
      <c r="J152" s="283"/>
      <c r="K152" s="284"/>
      <c r="N152" s="13"/>
    </row>
    <row r="153" spans="2:14" x14ac:dyDescent="0.3">
      <c r="B153" s="203"/>
      <c r="C153" s="278"/>
      <c r="E153" s="282"/>
      <c r="F153" s="283"/>
      <c r="G153" s="283"/>
      <c r="H153" s="283"/>
      <c r="I153" s="283"/>
      <c r="J153" s="283"/>
      <c r="K153" s="284"/>
      <c r="N153" s="13"/>
    </row>
    <row r="154" spans="2:14" x14ac:dyDescent="0.3">
      <c r="B154" s="203"/>
      <c r="C154" s="278"/>
      <c r="E154" s="282"/>
      <c r="F154" s="283"/>
      <c r="G154" s="283"/>
      <c r="H154" s="283"/>
      <c r="I154" s="283"/>
      <c r="J154" s="283"/>
      <c r="K154" s="284"/>
      <c r="N154" s="13"/>
    </row>
    <row r="155" spans="2:14" x14ac:dyDescent="0.3">
      <c r="B155" s="203"/>
      <c r="C155" s="278"/>
      <c r="E155" s="282"/>
      <c r="F155" s="283"/>
      <c r="G155" s="283"/>
      <c r="H155" s="283"/>
      <c r="I155" s="283"/>
      <c r="J155" s="283"/>
      <c r="K155" s="284"/>
      <c r="N155" s="13"/>
    </row>
    <row r="156" spans="2:14" x14ac:dyDescent="0.3">
      <c r="B156" s="203"/>
      <c r="C156" s="278"/>
      <c r="E156" s="282"/>
      <c r="F156" s="283"/>
      <c r="G156" s="283"/>
      <c r="H156" s="283"/>
      <c r="I156" s="283"/>
      <c r="J156" s="283"/>
      <c r="K156" s="284"/>
      <c r="N156" s="13"/>
    </row>
    <row r="157" spans="2:14" x14ac:dyDescent="0.3">
      <c r="B157" s="203"/>
      <c r="C157" s="278"/>
      <c r="E157" s="282"/>
      <c r="F157" s="283"/>
      <c r="G157" s="283"/>
      <c r="H157" s="283"/>
      <c r="I157" s="283"/>
      <c r="J157" s="283"/>
      <c r="K157" s="284"/>
      <c r="N157" s="13"/>
    </row>
    <row r="158" spans="2:14" x14ac:dyDescent="0.3">
      <c r="B158" s="203"/>
      <c r="C158" s="278"/>
      <c r="E158" s="282"/>
      <c r="F158" s="283"/>
      <c r="G158" s="283"/>
      <c r="H158" s="283"/>
      <c r="I158" s="283"/>
      <c r="J158" s="283"/>
      <c r="K158" s="284"/>
      <c r="N158" s="13"/>
    </row>
    <row r="159" spans="2:14" x14ac:dyDescent="0.3">
      <c r="B159" s="203"/>
      <c r="C159" s="278"/>
      <c r="E159" s="282"/>
      <c r="F159" s="283"/>
      <c r="G159" s="283"/>
      <c r="H159" s="283"/>
      <c r="I159" s="283"/>
      <c r="J159" s="283"/>
      <c r="K159" s="284"/>
      <c r="N159" s="13"/>
    </row>
    <row r="160" spans="2:14" x14ac:dyDescent="0.3">
      <c r="B160" s="203"/>
      <c r="C160" s="278"/>
      <c r="E160" s="282"/>
      <c r="F160" s="283"/>
      <c r="G160" s="283"/>
      <c r="H160" s="283"/>
      <c r="I160" s="283"/>
      <c r="J160" s="283"/>
      <c r="K160" s="284"/>
      <c r="N160" s="13"/>
    </row>
    <row r="161" spans="2:14" x14ac:dyDescent="0.3">
      <c r="B161" s="203"/>
      <c r="C161" s="278"/>
      <c r="E161" s="282"/>
      <c r="F161" s="283"/>
      <c r="G161" s="283"/>
      <c r="H161" s="283"/>
      <c r="I161" s="283"/>
      <c r="J161" s="283"/>
      <c r="K161" s="284"/>
      <c r="N161" s="13"/>
    </row>
    <row r="162" spans="2:14" x14ac:dyDescent="0.3">
      <c r="B162" s="203"/>
      <c r="C162" s="278"/>
      <c r="E162" s="282"/>
      <c r="F162" s="283"/>
      <c r="G162" s="283"/>
      <c r="H162" s="283"/>
      <c r="I162" s="283"/>
      <c r="J162" s="283"/>
      <c r="K162" s="284"/>
      <c r="N162" s="13"/>
    </row>
    <row r="163" spans="2:14" x14ac:dyDescent="0.3">
      <c r="B163" s="203"/>
      <c r="C163" s="278"/>
      <c r="E163" s="282"/>
      <c r="F163" s="283"/>
      <c r="G163" s="283"/>
      <c r="H163" s="283"/>
      <c r="I163" s="283"/>
      <c r="J163" s="283"/>
      <c r="K163" s="284"/>
      <c r="N163" s="13"/>
    </row>
    <row r="164" spans="2:14" x14ac:dyDescent="0.3">
      <c r="B164" s="203"/>
      <c r="C164" s="278"/>
      <c r="E164" s="282"/>
      <c r="F164" s="283"/>
      <c r="G164" s="283"/>
      <c r="H164" s="283"/>
      <c r="I164" s="283"/>
      <c r="J164" s="283"/>
      <c r="K164" s="284"/>
      <c r="N164" s="13"/>
    </row>
    <row r="165" spans="2:14" x14ac:dyDescent="0.3">
      <c r="B165" s="203"/>
      <c r="C165" s="278"/>
      <c r="E165" s="282"/>
      <c r="F165" s="283"/>
      <c r="G165" s="283"/>
      <c r="H165" s="283"/>
      <c r="I165" s="283"/>
      <c r="J165" s="283"/>
      <c r="K165" s="284"/>
      <c r="N165" s="13"/>
    </row>
    <row r="166" spans="2:14" x14ac:dyDescent="0.3">
      <c r="B166" s="203"/>
      <c r="C166" s="278"/>
      <c r="E166" s="282"/>
      <c r="F166" s="283"/>
      <c r="G166" s="283"/>
      <c r="H166" s="283"/>
      <c r="I166" s="283"/>
      <c r="J166" s="283"/>
      <c r="K166" s="284"/>
      <c r="N166" s="13"/>
    </row>
    <row r="167" spans="2:14" x14ac:dyDescent="0.3">
      <c r="B167" s="203"/>
      <c r="C167" s="278"/>
      <c r="E167" s="282"/>
      <c r="F167" s="283"/>
      <c r="G167" s="283"/>
      <c r="H167" s="283"/>
      <c r="I167" s="283"/>
      <c r="J167" s="283"/>
      <c r="K167" s="284"/>
      <c r="N167" s="13"/>
    </row>
    <row r="168" spans="2:14" x14ac:dyDescent="0.3">
      <c r="B168" s="203"/>
      <c r="C168" s="278"/>
      <c r="E168" s="282"/>
      <c r="F168" s="283"/>
      <c r="G168" s="283"/>
      <c r="H168" s="283"/>
      <c r="I168" s="283"/>
      <c r="J168" s="283"/>
      <c r="K168" s="284"/>
      <c r="N168" s="13"/>
    </row>
    <row r="169" spans="2:14" x14ac:dyDescent="0.3">
      <c r="B169" s="203"/>
      <c r="C169" s="278"/>
      <c r="E169" s="282"/>
      <c r="F169" s="283"/>
      <c r="G169" s="283"/>
      <c r="H169" s="283"/>
      <c r="I169" s="283"/>
      <c r="J169" s="283"/>
      <c r="K169" s="284"/>
      <c r="N169" s="13"/>
    </row>
    <row r="170" spans="2:14" x14ac:dyDescent="0.3">
      <c r="B170" s="203"/>
      <c r="C170" s="278"/>
      <c r="E170" s="282"/>
      <c r="F170" s="283"/>
      <c r="G170" s="283"/>
      <c r="H170" s="283"/>
      <c r="I170" s="283"/>
      <c r="J170" s="283"/>
      <c r="K170" s="284"/>
      <c r="N170" s="13"/>
    </row>
    <row r="171" spans="2:14" x14ac:dyDescent="0.3">
      <c r="B171" s="268"/>
      <c r="C171" s="285"/>
      <c r="E171" s="286"/>
      <c r="F171" s="287"/>
      <c r="G171" s="287"/>
      <c r="H171" s="287"/>
      <c r="I171" s="287"/>
      <c r="J171" s="287"/>
      <c r="K171" s="288"/>
      <c r="N171" s="13"/>
    </row>
  </sheetData>
  <mergeCells count="89">
    <mergeCell ref="B3:C4"/>
    <mergeCell ref="O3:AJ3"/>
    <mergeCell ref="AL3:AL4"/>
    <mergeCell ref="AM3:AQ4"/>
    <mergeCell ref="AR3:AU4"/>
    <mergeCell ref="O4:W4"/>
    <mergeCell ref="X4:AI4"/>
    <mergeCell ref="Q7:Q10"/>
    <mergeCell ref="S7:T8"/>
    <mergeCell ref="U7:U10"/>
    <mergeCell ref="O2:Q2"/>
    <mergeCell ref="AW2:AZ2"/>
    <mergeCell ref="AU7:AU10"/>
    <mergeCell ref="R9:R10"/>
    <mergeCell ref="S9:S10"/>
    <mergeCell ref="Y9:Y10"/>
    <mergeCell ref="AB9:AB10"/>
    <mergeCell ref="AG9:AG10"/>
    <mergeCell ref="AJ7:AJ10"/>
    <mergeCell ref="AL7:AL10"/>
    <mergeCell ref="AM7:AM10"/>
    <mergeCell ref="AN7:AN10"/>
    <mergeCell ref="AO7:AO10"/>
    <mergeCell ref="AP7:AP10"/>
    <mergeCell ref="AC7:AC10"/>
    <mergeCell ref="AD7:AD10"/>
    <mergeCell ref="AE7:AE10"/>
    <mergeCell ref="AF7:AF10"/>
    <mergeCell ref="B30:C30"/>
    <mergeCell ref="AQ7:AQ10"/>
    <mergeCell ref="AR7:AR10"/>
    <mergeCell ref="AS7:AS10"/>
    <mergeCell ref="AT7:AT10"/>
    <mergeCell ref="AH7:AH10"/>
    <mergeCell ref="AI7:AI10"/>
    <mergeCell ref="V7:V10"/>
    <mergeCell ref="W7:W10"/>
    <mergeCell ref="X7:X10"/>
    <mergeCell ref="Z7:Z10"/>
    <mergeCell ref="AA7:AA10"/>
    <mergeCell ref="AB7:AB8"/>
    <mergeCell ref="B7:C8"/>
    <mergeCell ref="O7:O10"/>
    <mergeCell ref="P7:P10"/>
    <mergeCell ref="B11:C11"/>
    <mergeCell ref="B15:B16"/>
    <mergeCell ref="B25:C25"/>
    <mergeCell ref="B27:C27"/>
    <mergeCell ref="B28:C28"/>
    <mergeCell ref="B46:C46"/>
    <mergeCell ref="O59:O60"/>
    <mergeCell ref="P59:Q59"/>
    <mergeCell ref="T59:T60"/>
    <mergeCell ref="U59:U60"/>
    <mergeCell ref="AN59:AN60"/>
    <mergeCell ref="AO59:AO60"/>
    <mergeCell ref="AC59:AC60"/>
    <mergeCell ref="AD59:AD60"/>
    <mergeCell ref="AE59:AE60"/>
    <mergeCell ref="AF59:AF60"/>
    <mergeCell ref="AG59:AG60"/>
    <mergeCell ref="AH59:AH60"/>
    <mergeCell ref="P60:Q60"/>
    <mergeCell ref="AI59:AI60"/>
    <mergeCell ref="AJ59:AJ60"/>
    <mergeCell ref="AL59:AL60"/>
    <mergeCell ref="AM59:AM60"/>
    <mergeCell ref="W59:W60"/>
    <mergeCell ref="X59:X60"/>
    <mergeCell ref="Y59:Y60"/>
    <mergeCell ref="Z59:Z60"/>
    <mergeCell ref="AA59:AA60"/>
    <mergeCell ref="AB59:AB60"/>
    <mergeCell ref="V59:V60"/>
    <mergeCell ref="AP59:AP60"/>
    <mergeCell ref="AR59:AR60"/>
    <mergeCell ref="AS59:AS60"/>
    <mergeCell ref="AT59:AT60"/>
    <mergeCell ref="AU59:AU60"/>
    <mergeCell ref="B139:C139"/>
    <mergeCell ref="E139:K140"/>
    <mergeCell ref="B140:C140"/>
    <mergeCell ref="O63:AJ63"/>
    <mergeCell ref="X75:AI75"/>
    <mergeCell ref="X76:AI76"/>
    <mergeCell ref="B82:C82"/>
    <mergeCell ref="E104:E108"/>
    <mergeCell ref="B105:C105"/>
    <mergeCell ref="B106:C106"/>
  </mergeCells>
  <conditionalFormatting sqref="B25 B27:B28">
    <cfRule type="notContainsBlanks" dxfId="30" priority="28">
      <formula>LEN(TRIM(B25))&gt;0</formula>
    </cfRule>
  </conditionalFormatting>
  <conditionalFormatting sqref="B46">
    <cfRule type="notContainsBlanks" dxfId="29" priority="26">
      <formula>LEN(TRIM(B46))&gt;0</formula>
    </cfRule>
  </conditionalFormatting>
  <conditionalFormatting sqref="B109:B137 B142:B171">
    <cfRule type="expression" dxfId="28" priority="8">
      <formula>AND($B109&lt;&gt;"",ISODD(ROW()))</formula>
    </cfRule>
  </conditionalFormatting>
  <conditionalFormatting sqref="B106:C106">
    <cfRule type="notContainsBlanks" dxfId="27" priority="3">
      <formula>LEN(TRIM(B106))&gt;0</formula>
    </cfRule>
  </conditionalFormatting>
  <conditionalFormatting sqref="C19:C21">
    <cfRule type="expression" dxfId="23" priority="16">
      <formula>OR(Summary="Constant Growth",Summary="Zero Growth")</formula>
    </cfRule>
  </conditionalFormatting>
  <conditionalFormatting sqref="C34">
    <cfRule type="expression" dxfId="21" priority="14">
      <formula>OR($B$27&lt;&gt;"",$C$34&gt;=$C$36)</formula>
    </cfRule>
  </conditionalFormatting>
  <conditionalFormatting sqref="C38">
    <cfRule type="expression" dxfId="20" priority="21">
      <formula>$C$37="NY"</formula>
    </cfRule>
  </conditionalFormatting>
  <conditionalFormatting sqref="C107">
    <cfRule type="cellIs" dxfId="19" priority="11" stopIfTrue="1" operator="equal">
      <formula>"N"</formula>
    </cfRule>
  </conditionalFormatting>
  <conditionalFormatting sqref="C109:C137">
    <cfRule type="expression" dxfId="18" priority="1">
      <formula>AND($B109&lt;&gt;"",$C109="")</formula>
    </cfRule>
    <cfRule type="expression" dxfId="17" priority="7">
      <formula>OR(AND($B109="",$C109&gt;0),AND(LEFT($B109,5)="Check",$C109&gt;0,$C109&lt;1))</formula>
    </cfRule>
    <cfRule type="expression" dxfId="16" priority="9">
      <formula>AND($B109&lt;&gt;"",ISODD(ROW()))</formula>
    </cfRule>
    <cfRule type="expression" dxfId="15" priority="10">
      <formula>ISBLANK($B109)</formula>
    </cfRule>
  </conditionalFormatting>
  <conditionalFormatting sqref="C141">
    <cfRule type="cellIs" dxfId="14" priority="22" stopIfTrue="1" operator="equal">
      <formula>"N"</formula>
    </cfRule>
  </conditionalFormatting>
  <conditionalFormatting sqref="C142:C171">
    <cfRule type="expression" dxfId="13" priority="15">
      <formula>AND($B142&lt;&gt;"",ISODD(ROW()))</formula>
    </cfRule>
    <cfRule type="expression" dxfId="12" priority="20">
      <formula>ISBLANK($B142)</formula>
    </cfRule>
  </conditionalFormatting>
  <conditionalFormatting sqref="E109:E137">
    <cfRule type="expression" dxfId="11" priority="4">
      <formula>OR(AND($B109="",$C109&gt;0),AND(LEFT($B109,5)="Check",$C109&gt;0,$C109&lt;1))</formula>
    </cfRule>
    <cfRule type="expression" dxfId="10" priority="5">
      <formula>AND($B109&lt;&gt;"",ISODD(ROW()))</formula>
    </cfRule>
    <cfRule type="expression" dxfId="9" priority="6">
      <formula>ISBLANK($B109)</formula>
    </cfRule>
  </conditionalFormatting>
  <conditionalFormatting sqref="O3:AJ3">
    <cfRule type="expression" dxfId="8" priority="19">
      <formula>RIGHT($O$3,7)&lt;&gt;"Summary"</formula>
    </cfRule>
  </conditionalFormatting>
  <conditionalFormatting sqref="AD11:AD56">
    <cfRule type="expression" dxfId="5" priority="23">
      <formula>AND(OR($AC11="Not Available",$AC11="Eligibility Criteria Not Met",$AC11="Benefit Exhausted"),$AD11="Yes")</formula>
    </cfRule>
    <cfRule type="expression" dxfId="4" priority="27">
      <formula>AND($AB11="",PTab="P7",OR($AD11="Yes",#REF!&lt;&gt;""))</formula>
    </cfRule>
  </conditionalFormatting>
  <conditionalFormatting sqref="AE11:AE56">
    <cfRule type="expression" dxfId="3" priority="17">
      <formula>OR($AD11="No",$AD11="")</formula>
    </cfRule>
  </conditionalFormatting>
  <dataValidations count="2">
    <dataValidation allowBlank="1" showDropDown="1" showInputMessage="1" showErrorMessage="1" sqref="C54" xr:uid="{B7FBAE0B-EAD9-4EAD-AB4F-B4BCAC2F8DDA}"/>
    <dataValidation type="decimal" allowBlank="1" showInputMessage="1" showErrorMessage="1" sqref="C108:C137" xr:uid="{A5BC3947-C748-470B-8608-08D4FA8B562C}">
      <formula1>0</formula1>
      <formula2>1</formula2>
    </dataValidation>
  </dataValidations>
  <pageMargins left="0.7" right="0.7" top="0.75" bottom="0.75" header="0.3" footer="0.3"/>
  <pageSetup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016DA203-5BB3-4BFC-BFA6-9D1F3A6F1D51}">
            <xm:f>COUNTIF(INDIRECT(VLOOKUP(Category,Ref!$AG$3:$AH$51,2,FALSE)),Product)=0</xm:f>
            <x14:dxf>
              <font>
                <b/>
                <i/>
                <strike/>
                <color theme="0"/>
              </font>
              <fill>
                <patternFill>
                  <bgColor rgb="FFC00000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expression" priority="12" id="{1A31AA5A-6AAC-4E77-ACA0-945E4F9154DC}">
            <xm:f>INDEX(Ref!$AT$3:$AT$51,MATCH(Product,Ref!$AJ$3:$AJ$51,0),1)&lt;&gt;"Variable"</xm:f>
            <x14:dxf>
              <font>
                <b/>
                <i/>
                <color rgb="FFFBEAC0"/>
              </font>
              <fill>
                <patternFill>
                  <bgColor rgb="FFFBEAC0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expression" priority="24" id="{C6BEA659-3064-4C69-A78D-0E957175558A}">
            <xm:f>OR(COUNTIF(INDIRECT(VLOOKUP(Product,Ref!$AJ$3:$AK$51,2,FALSE)),LivBen)=0,COUNTIF(INDIRECT(VLOOKUP(Category,Ref!$AG$3:$AH$51,2,FALSE)),Product)=0)</xm:f>
            <x14:dxf>
              <font>
                <b/>
                <i/>
                <strike/>
                <color theme="0"/>
              </font>
              <fill>
                <patternFill>
                  <bgColor rgb="FFC00000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expression" priority="13" id="{03E6D231-29F0-4A25-BB1A-0E3B681087D4}">
            <xm:f>OR(Ref!$R$53="N",MCIRInd="No")</xm:f>
            <x14:dxf>
              <font>
                <b/>
                <i/>
                <color rgb="FFF7D47D"/>
              </font>
              <fill>
                <patternFill>
                  <bgColor rgb="FFFBEAC0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expression" priority="2" id="{D7FA3D8F-CA7C-44C6-849D-17365622FA7C}">
            <xm:f>AND(Ref!$S$53="Y",$O11&lt;=CDSCP)</xm:f>
            <x14:dxf>
              <fill>
                <patternFill>
                  <bgColor rgb="FFF1FBCB"/>
                </patternFill>
              </fill>
            </x14:dxf>
          </x14:cfRule>
          <x14:cfRule type="expression" priority="18" id="{120862CE-AB44-47F0-9C90-B76AC4622F2B}">
            <xm:f>OR(AND(PTab="P7",$O11=5),AND(Ref!$S$53="Y",$AA11&gt;0,$AA11&lt;&gt;""))</xm:f>
            <x14:dxf>
              <font>
                <b/>
                <i/>
                <color auto="1"/>
              </font>
              <fill>
                <patternFill>
                  <bgColor rgb="FFF1FBCB"/>
                </patternFill>
              </fill>
            </x14:dxf>
          </x14:cfRule>
          <xm:sqref>O11:AJ56 AL11:AU56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BDBD683-4741-4DD8-99F4-193001CB1F05}">
          <x14:formula1>
            <xm:f>Ref!$AA$32:$AA$33</xm:f>
          </x14:formula1>
          <xm:sqref>C66</xm:sqref>
        </x14:dataValidation>
        <x14:dataValidation type="list" allowBlank="1" showInputMessage="1" showErrorMessage="1" xr:uid="{4BA9E88D-AC24-4CB3-B6A9-4A8A883A69C0}">
          <x14:formula1>
            <xm:f>_xlfn.ANCHORARRAY(Ref!$AI$182)</xm:f>
          </x14:formula1>
          <xm:sqref>C15</xm:sqref>
        </x14:dataValidation>
        <x14:dataValidation type="list" allowBlank="1" showInputMessage="1" showErrorMessage="1" xr:uid="{598F5D11-D653-434E-9F41-5C5E91384B25}">
          <x14:formula1>
            <xm:f>Ref!$AA$28</xm:f>
          </x14:formula1>
          <xm:sqref>C19</xm:sqref>
        </x14:dataValidation>
        <x14:dataValidation type="list" allowBlank="1" showInputMessage="1" showErrorMessage="1" xr:uid="{E7C2B63B-6A0E-424D-9136-B299BE8E8049}">
          <x14:formula1>
            <xm:f>Ref!$AG$68:$AG$118</xm:f>
          </x14:formula1>
          <xm:sqref>C38</xm:sqref>
        </x14:dataValidation>
        <x14:dataValidation type="list" allowBlank="1" showInputMessage="1" showErrorMessage="1" xr:uid="{A6AE6524-F224-46A1-A1BF-1B244B57F26E}">
          <x14:formula1>
            <xm:f>Ref!$AG$58:$AG$65</xm:f>
          </x14:formula1>
          <xm:sqref>C12</xm:sqref>
        </x14:dataValidation>
        <x14:dataValidation type="list" allowBlank="1" showInputMessage="1" showErrorMessage="1" xr:uid="{A6BC54C5-F85E-488A-8F10-85B44D55B821}">
          <x14:formula1>
            <xm:f>INDIRECT(VLOOKUP(Category,Ref!$AG$3:$AH$51,2,FALSE))</xm:f>
          </x14:formula1>
          <xm:sqref>C14</xm:sqref>
        </x14:dataValidation>
        <x14:dataValidation type="list" allowBlank="1" showInputMessage="1" showErrorMessage="1" xr:uid="{E1B6B1C7-4DEA-4848-AD16-C8B376C2AFEF}">
          <x14:formula1>
            <xm:f>Ref!$Y$89:$Y$89</xm:f>
          </x14:formula1>
          <xm:sqref>W66</xm:sqref>
        </x14:dataValidation>
        <x14:dataValidation type="list" allowBlank="1" showInputMessage="1" showErrorMessage="1" xr:uid="{7108B795-DE06-4D36-AC6B-CDBC6D8CEA32}">
          <x14:formula1>
            <xm:f>Ref!$AA$77:$AA$78</xm:f>
          </x14:formula1>
          <xm:sqref>W65</xm:sqref>
        </x14:dataValidation>
        <x14:dataValidation type="list" allowBlank="1" showInputMessage="1" showErrorMessage="1" xr:uid="{445D2699-B17C-4F07-89F2-3E827887692A}">
          <x14:formula1>
            <xm:f>Ref!$Y$83</xm:f>
          </x14:formula1>
          <xm:sqref>W64</xm:sqref>
        </x14:dataValidation>
        <x14:dataValidation type="list" allowBlank="1" showInputMessage="1" showErrorMessage="1" xr:uid="{38A0B2AE-CE04-4903-A4DB-4A299E145C08}">
          <x14:formula1>
            <xm:f>Ref!$Y$32:$Y$33</xm:f>
          </x14:formula1>
          <xm:sqref>C39</xm:sqref>
        </x14:dataValidation>
        <x14:dataValidation type="list" allowBlank="1" showInputMessage="1" showErrorMessage="1" xr:uid="{F47F9CB2-30A4-4E92-990C-48978FFD53F3}">
          <x14:formula1>
            <xm:f>Ref!$AA$23:$AA$25</xm:f>
          </x14:formula1>
          <xm:sqref>C77</xm:sqref>
        </x14:dataValidation>
        <x14:dataValidation type="list" allowBlank="1" showInputMessage="1" showErrorMessage="1" xr:uid="{82EA00A6-50DC-4B16-9768-747AFA87D143}">
          <x14:formula1>
            <xm:f>Ref!$Y$48:$Y$49</xm:f>
          </x14:formula1>
          <xm:sqref>U90</xm:sqref>
        </x14:dataValidation>
        <x14:dataValidation type="list" allowBlank="1" showDropDown="1" showInputMessage="1" showErrorMessage="1" xr:uid="{107B1139-88E2-4493-A3C7-63BCE2F2C81A}">
          <x14:formula1>
            <xm:f>Ref!$Y$29:$Y$29</xm:f>
          </x14:formula1>
          <xm:sqref>AD11:AD12</xm:sqref>
        </x14:dataValidation>
        <x14:dataValidation type="list" allowBlank="1" showInputMessage="1" showErrorMessage="1" xr:uid="{88C69150-ACBF-4DD4-92A5-4338EE914096}">
          <x14:formula1>
            <xm:f>Ref!$Y$38:$Y$41</xm:f>
          </x14:formula1>
          <xm:sqref>C33</xm:sqref>
        </x14:dataValidation>
        <x14:dataValidation type="list" allowBlank="1" showInputMessage="1" showErrorMessage="1" xr:uid="{0A3D1F8E-CCFD-48D3-B453-DB992E9CCF8C}">
          <x14:formula1>
            <xm:f>Ref!$Y$28:$Y$29</xm:f>
          </x14:formula1>
          <xm:sqref>C42 AD13:AD56 C76 C20</xm:sqref>
        </x14:dataValidation>
        <x14:dataValidation type="list" allowBlank="1" showInputMessage="1" showErrorMessage="1" xr:uid="{357DBA50-068F-4D93-8D5C-7B48B6E9F591}">
          <x14:formula1>
            <xm:f>Ref!$Y$23:$Y$25</xm:f>
          </x14:formula1>
          <xm:sqref>C40</xm:sqref>
        </x14:dataValidation>
        <x14:dataValidation type="list" allowBlank="1" showInputMessage="1" showErrorMessage="1" xr:uid="{55D176D8-0C83-4A92-A7E7-46E58ADFC73E}">
          <x14:formula1>
            <xm:f>INDIRECT(VLOOKUP(Product,Ref!$AJ$3:$AK$51,2,FALSE))</xm:f>
          </x14:formula1>
          <xm:sqref>C17</xm:sqref>
        </x14:dataValidation>
        <x14:dataValidation type="list" allowBlank="1" showInputMessage="1" showErrorMessage="1" xr:uid="{CB2E1AB8-25C2-4C61-A908-4032150E1A1D}">
          <x14:formula1>
            <xm:f>Ref!$Y$3:$Y$8</xm:f>
          </x14:formula1>
          <xm:sqref>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658B-C47C-46EE-9D14-A5D266566F55}">
  <sheetPr>
    <tabColor rgb="FFFFFFFF"/>
  </sheetPr>
  <dimension ref="B2:CG193"/>
  <sheetViews>
    <sheetView showGridLines="0" zoomScale="80" zoomScaleNormal="80" workbookViewId="0">
      <selection activeCell="S22" sqref="S22"/>
    </sheetView>
  </sheetViews>
  <sheetFormatPr defaultColWidth="12.5546875" defaultRowHeight="13.2" outlineLevelCol="2" x14ac:dyDescent="0.3"/>
  <cols>
    <col min="1" max="1" width="1.5546875" style="1" customWidth="1"/>
    <col min="2" max="2" width="43.21875" style="1" bestFit="1" customWidth="1"/>
    <col min="3" max="3" width="24.88671875" style="1" customWidth="1"/>
    <col min="4" max="11" width="15.5546875" style="1" customWidth="1"/>
    <col min="12" max="12" width="24.33203125" style="1" customWidth="1"/>
    <col min="13" max="21" width="15.5546875" style="1" customWidth="1"/>
    <col min="22" max="22" width="1.5546875" style="1" customWidth="1"/>
    <col min="23" max="23" width="1.5546875" style="289" customWidth="1"/>
    <col min="24" max="24" width="1.5546875" style="1" customWidth="1"/>
    <col min="25" max="25" width="36" style="1" customWidth="1" outlineLevel="1"/>
    <col min="26" max="26" width="13.21875" style="1" customWidth="1" outlineLevel="1"/>
    <col min="27" max="27" width="29.33203125" style="1" customWidth="1" outlineLevel="1"/>
    <col min="28" max="29" width="15" style="1" customWidth="1" outlineLevel="1"/>
    <col min="30" max="30" width="1.5546875" style="1" customWidth="1" outlineLevel="1"/>
    <col min="31" max="31" width="1.5546875" style="289" customWidth="1"/>
    <col min="32" max="32" width="1.5546875" style="1" customWidth="1"/>
    <col min="33" max="33" width="35.44140625" style="1" customWidth="1" outlineLevel="1"/>
    <col min="34" max="34" width="37.44140625" style="1" customWidth="1" outlineLevel="1"/>
    <col min="35" max="35" width="30.33203125" style="1" customWidth="1" outlineLevel="1"/>
    <col min="36" max="36" width="41.6640625" style="1" customWidth="1" outlineLevel="1"/>
    <col min="37" max="37" width="30.33203125" style="1" customWidth="1" outlineLevel="1"/>
    <col min="38" max="38" width="41.6640625" style="1" customWidth="1" outlineLevel="1"/>
    <col min="39" max="40" width="30.33203125" style="1" customWidth="1" outlineLevel="1"/>
    <col min="41" max="42" width="21.6640625" style="1" customWidth="1" outlineLevel="1"/>
    <col min="43" max="43" width="23.77734375" style="1" customWidth="1" outlineLevel="2"/>
    <col min="44" max="44" width="26.109375" style="1" customWidth="1" outlineLevel="2"/>
    <col min="45" max="45" width="26.5546875" style="1" customWidth="1" outlineLevel="2"/>
    <col min="46" max="46" width="21.44140625" style="1" customWidth="1" outlineLevel="2"/>
    <col min="47" max="47" width="15" style="1" customWidth="1" outlineLevel="2"/>
    <col min="48" max="48" width="122" style="1" customWidth="1" outlineLevel="1"/>
    <col min="49" max="49" width="26.33203125" style="1" customWidth="1" outlineLevel="1"/>
    <col min="50" max="50" width="19.88671875" style="1" customWidth="1" outlineLevel="1"/>
    <col min="51" max="51" width="54.21875" style="1" customWidth="1" outlineLevel="1"/>
    <col min="52" max="52" width="1.5546875" style="1" customWidth="1" outlineLevel="1"/>
    <col min="53" max="53" width="1.5546875" style="289" customWidth="1"/>
    <col min="54" max="54" width="1.5546875" style="1" customWidth="1"/>
    <col min="55" max="55" width="15.5546875" style="1" customWidth="1"/>
    <col min="56" max="59" width="10.5546875" style="1" customWidth="1"/>
    <col min="60" max="85" width="25.5546875" style="1" customWidth="1"/>
    <col min="86" max="16384" width="12.5546875" style="1"/>
  </cols>
  <sheetData>
    <row r="2" spans="2:85" x14ac:dyDescent="0.3">
      <c r="B2" s="690" t="s">
        <v>170</v>
      </c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691"/>
      <c r="Q2" s="691"/>
      <c r="R2" s="691"/>
      <c r="S2" s="691"/>
      <c r="T2" s="691"/>
      <c r="U2" s="692"/>
      <c r="Y2" s="290" t="s">
        <v>171</v>
      </c>
      <c r="Z2" s="291" t="s">
        <v>172</v>
      </c>
      <c r="AA2" s="291" t="s">
        <v>173</v>
      </c>
      <c r="AB2" s="291" t="s">
        <v>174</v>
      </c>
      <c r="AC2" s="292" t="s">
        <v>175</v>
      </c>
      <c r="AG2" s="293" t="s">
        <v>176</v>
      </c>
      <c r="AH2" s="294" t="s">
        <v>177</v>
      </c>
      <c r="AI2" s="294" t="s">
        <v>178</v>
      </c>
      <c r="AJ2" s="293" t="s">
        <v>32</v>
      </c>
      <c r="AK2" s="294" t="s">
        <v>179</v>
      </c>
      <c r="AL2" s="295" t="s">
        <v>180</v>
      </c>
      <c r="AM2" s="296" t="s">
        <v>181</v>
      </c>
      <c r="AN2" s="297" t="s">
        <v>182</v>
      </c>
      <c r="AO2" s="298" t="s">
        <v>183</v>
      </c>
      <c r="AP2" s="299" t="s">
        <v>184</v>
      </c>
      <c r="AQ2" s="300" t="s">
        <v>185</v>
      </c>
      <c r="AR2" s="300" t="s">
        <v>186</v>
      </c>
      <c r="AS2" s="300" t="s">
        <v>187</v>
      </c>
      <c r="AT2" s="296" t="s">
        <v>188</v>
      </c>
      <c r="AU2" s="299" t="s">
        <v>189</v>
      </c>
      <c r="AV2" s="293" t="s">
        <v>190</v>
      </c>
      <c r="AW2" s="296" t="s">
        <v>191</v>
      </c>
      <c r="AX2" s="299" t="s">
        <v>192</v>
      </c>
      <c r="AY2" s="293" t="s">
        <v>190</v>
      </c>
      <c r="BC2" s="301" t="str">
        <f>IF(OR($L$53 =0,Election = "None"), "None",CONCATENATE(Election," ",$L$53))</f>
        <v>None</v>
      </c>
      <c r="BD2" s="693" t="s">
        <v>193</v>
      </c>
      <c r="BE2" s="693"/>
      <c r="BF2" s="693"/>
      <c r="BG2" s="693"/>
      <c r="BH2" s="675">
        <v>45698</v>
      </c>
      <c r="BI2" s="675"/>
      <c r="BJ2" s="675">
        <v>45698</v>
      </c>
      <c r="BK2" s="675"/>
      <c r="BL2" s="675">
        <v>45706</v>
      </c>
      <c r="BM2" s="675"/>
      <c r="BN2" s="675">
        <v>45706</v>
      </c>
      <c r="BO2" s="675"/>
      <c r="BP2" s="675">
        <v>45698</v>
      </c>
      <c r="BQ2" s="675"/>
      <c r="BR2" s="675">
        <v>45698</v>
      </c>
      <c r="BS2" s="675"/>
      <c r="BT2" s="675">
        <v>45698</v>
      </c>
      <c r="BU2" s="676"/>
      <c r="BV2" s="675">
        <v>45698</v>
      </c>
      <c r="BW2" s="676"/>
      <c r="BX2" s="675">
        <v>45698</v>
      </c>
      <c r="BY2" s="676"/>
      <c r="BZ2" s="675">
        <v>45698</v>
      </c>
      <c r="CA2" s="676"/>
      <c r="CB2" s="675">
        <v>45698</v>
      </c>
      <c r="CC2" s="675"/>
      <c r="CD2" s="675">
        <v>45698</v>
      </c>
      <c r="CE2" s="675"/>
      <c r="CF2" s="676" t="s">
        <v>194</v>
      </c>
      <c r="CG2" s="676"/>
    </row>
    <row r="3" spans="2:85" ht="14.4" x14ac:dyDescent="0.3">
      <c r="B3" s="294" t="s">
        <v>32</v>
      </c>
      <c r="C3" s="302" t="s">
        <v>195</v>
      </c>
      <c r="D3" s="294" t="s">
        <v>196</v>
      </c>
      <c r="E3" s="294" t="s">
        <v>197</v>
      </c>
      <c r="F3" s="294" t="s">
        <v>198</v>
      </c>
      <c r="G3" s="294" t="s">
        <v>199</v>
      </c>
      <c r="H3" s="294" t="s">
        <v>200</v>
      </c>
      <c r="I3" s="294" t="s">
        <v>201</v>
      </c>
      <c r="J3" s="294" t="s">
        <v>202</v>
      </c>
      <c r="K3" s="294" t="s">
        <v>203</v>
      </c>
      <c r="L3" s="302" t="s">
        <v>204</v>
      </c>
      <c r="M3" s="294" t="s">
        <v>205</v>
      </c>
      <c r="N3" s="294" t="s">
        <v>206</v>
      </c>
      <c r="O3" s="294" t="s">
        <v>207</v>
      </c>
      <c r="P3" s="294" t="s">
        <v>208</v>
      </c>
      <c r="Q3" s="294" t="s">
        <v>209</v>
      </c>
      <c r="R3" s="294" t="s">
        <v>210</v>
      </c>
      <c r="S3" s="294" t="s">
        <v>211</v>
      </c>
      <c r="T3" s="294" t="s">
        <v>212</v>
      </c>
      <c r="U3" s="294" t="s">
        <v>213</v>
      </c>
      <c r="Y3" s="303" t="s">
        <v>81</v>
      </c>
      <c r="Z3" s="304">
        <f>ISD</f>
        <v>37986</v>
      </c>
      <c r="AA3" s="305" t="s">
        <v>214</v>
      </c>
      <c r="AB3" s="305" t="s">
        <v>215</v>
      </c>
      <c r="AC3" s="306" t="s">
        <v>216</v>
      </c>
      <c r="AG3" s="307" t="s">
        <v>217</v>
      </c>
      <c r="AH3" s="308" t="str">
        <f t="shared" ref="AH3:AH20" si="0">TRIM(LEFT(AG3,2)&amp;IFERROR(MID(_xlfn.TEXTAFTER(SUBSTITUTE(AG3,"&amp; ","")," ",1),1,1),"")&amp;IFERROR(MID(_xlfn.TEXTAFTER(SUBSTITUTE(AG3,"&amp; ","")," ",2),1,1),"")&amp;IFERROR(MID(_xlfn.TEXTAFTER(SUBSTITUTE(AG3,"&amp; ","")," ",3),1,1),"")&amp;IFERROR(MID(_xlfn.TEXTAFTER(SUBSTITUTE(AG3,"&amp; ","")," ",4),1,1),""))</f>
        <v>AdS</v>
      </c>
      <c r="AI3" s="308" t="s">
        <v>218</v>
      </c>
      <c r="AJ3" s="307" t="s">
        <v>219</v>
      </c>
      <c r="AK3" s="308" t="str">
        <f t="shared" ref="AK3:AK20" si="1">IF(AM3="None","None",TRIM(LEFT(AM3,1)&amp;IFERROR(MID(_xlfn.TEXTAFTER(AM3," ",1),1,1),"")&amp;IFERROR(MID(_xlfn.TEXTAFTER(AM3," ",2),1,1),"")&amp;IFERROR(MID(_xlfn.TEXTAFTER(AM3," ",3),1,1),"")&amp;IFERROR(MID(_xlfn.TEXTAFTER(AM3," ",4),1,1),"")&amp;LEFT(AN3,1)&amp;IFERROR(MID(_xlfn.TEXTAFTER(AN3," ",1),1,1),"")&amp;IFERROR(MID(_xlfn.TEXTAFTER(AN3," ",2),1,1),"")&amp;IFERROR(MID(_xlfn.TEXTAFTER(AN3," ",3),1,1),"")&amp;IFERROR(MID(_xlfn.TEXTAFTER(AN3," ",4),1,1),"")))</f>
        <v>None</v>
      </c>
      <c r="AL3" s="308" t="s">
        <v>73</v>
      </c>
      <c r="AM3" s="309" t="s">
        <v>79</v>
      </c>
      <c r="AN3" s="310"/>
      <c r="AO3" s="311"/>
      <c r="AP3" s="311"/>
      <c r="AQ3" s="309" t="s">
        <v>79</v>
      </c>
      <c r="AR3" s="312"/>
      <c r="AS3" s="312"/>
      <c r="AT3" s="308" t="s">
        <v>83</v>
      </c>
      <c r="AU3" s="308">
        <v>4</v>
      </c>
      <c r="AV3" s="313"/>
      <c r="AW3" s="308" t="s">
        <v>83</v>
      </c>
      <c r="AX3" s="308">
        <v>3</v>
      </c>
      <c r="AY3" s="313"/>
      <c r="BC3" s="677" t="s">
        <v>46</v>
      </c>
      <c r="BD3" s="680" t="s">
        <v>220</v>
      </c>
      <c r="BE3" s="683" t="s">
        <v>221</v>
      </c>
      <c r="BF3" s="686" t="s">
        <v>205</v>
      </c>
      <c r="BG3" s="677" t="s">
        <v>79</v>
      </c>
      <c r="BH3" s="669" t="s">
        <v>220</v>
      </c>
      <c r="BI3" s="671"/>
      <c r="BJ3" s="671"/>
      <c r="BK3" s="671"/>
      <c r="BL3" s="671"/>
      <c r="BM3" s="671"/>
      <c r="BN3" s="671"/>
      <c r="BO3" s="671"/>
      <c r="BP3" s="671"/>
      <c r="BQ3" s="671"/>
      <c r="BR3" s="671"/>
      <c r="BS3" s="671"/>
      <c r="BT3" s="671"/>
      <c r="BU3" s="671"/>
      <c r="BV3" s="671"/>
      <c r="BW3" s="671"/>
      <c r="BX3" s="671"/>
      <c r="BY3" s="671"/>
      <c r="BZ3" s="671"/>
      <c r="CA3" s="670"/>
      <c r="CB3" s="673" t="s">
        <v>221</v>
      </c>
      <c r="CC3" s="689"/>
      <c r="CD3" s="689"/>
      <c r="CE3" s="689"/>
      <c r="CF3" s="669" t="s">
        <v>205</v>
      </c>
      <c r="CG3" s="670"/>
    </row>
    <row r="4" spans="2:85" ht="14.4" x14ac:dyDescent="0.3">
      <c r="B4" s="316" t="s">
        <v>222</v>
      </c>
      <c r="C4" s="317">
        <f t="shared" ref="C4" si="2">IF(LEFT(INDEX($AT$3:$AT$51,MATCH($B4,$AJ$3:$AJ$51,0),1),1)="C",IF(VLOOKUP(State,Compact,3,FALSE)="Y",INT(MID(INDEX($AT$3:$AT$51,MATCH($B4,$AJ$3:$AJ$51,0),1),3,1)),IF(State="CA",INT(RIGHT(INDEX($AT$3:$AT$51,MATCH($B4,$AJ$3:$AJ$51,0),1),1)),INDEX($AU$3:$AU$51,MATCH($B4,$AJ$3:$AJ$51,0),1))),IF(AND(VLOOKUP(State,Compact,2,FALSE)="Y",INDEX($AT$3:$AT$51,MATCH($B4,$AJ$3:$AJ$51,0),1)&lt;&gt;"Standard",INDEX($AT$3:$AT$51,MATCH($B4,$AJ$3:$AJ$51,0),1)&lt;&gt;"Variable"),INT(RIGHT(INDEX($AT$3:$AT$51,MATCH($B4,$AJ$3:$AJ$51,0),1),1)),INDEX($AU$3:$AU$51,MATCH($B4,$AJ$3:$AJ$51,0),1)))</f>
        <v>6</v>
      </c>
      <c r="D4" s="318">
        <v>4</v>
      </c>
      <c r="E4" s="317">
        <f t="shared" ref="E4" si="3">IF(AND(INDEX($AW$3:$AW$51,MATCH($B4,$AJ$3:$AJ$51,0),1)&lt;&gt;"Standard",State="CA"),INT(RIGHT(INDEX($AW$3:$AW$51,MATCH($B4,$AJ$3:$AJ$51,0),1),1)),INDEX($AX$3:$AX$51,MATCH($B4,$AJ$3:$AJ$51,0),1))</f>
        <v>1</v>
      </c>
      <c r="F4" s="318">
        <v>1</v>
      </c>
      <c r="G4" s="318" t="s">
        <v>73</v>
      </c>
      <c r="H4" s="319">
        <v>8</v>
      </c>
      <c r="I4" s="319">
        <v>4</v>
      </c>
      <c r="J4" s="318">
        <v>3</v>
      </c>
      <c r="K4" s="318">
        <v>5</v>
      </c>
      <c r="L4" s="317" cm="1">
        <f t="array" ref="L4">INDEX($AO$3:$AP$51,MATCH($B4,$AJ$3:$AJ$51,0),INDEX($AJ$58:$AJ$63,MATCH(LivBen,$AI$58:$AI$63,0),1))</f>
        <v>0</v>
      </c>
      <c r="M4" s="319">
        <v>0</v>
      </c>
      <c r="N4" s="318">
        <v>1</v>
      </c>
      <c r="O4" s="318">
        <v>1</v>
      </c>
      <c r="P4" s="320">
        <v>1</v>
      </c>
      <c r="Q4" s="318">
        <v>1</v>
      </c>
      <c r="R4" s="318" t="s">
        <v>223</v>
      </c>
      <c r="S4" s="318" t="s">
        <v>223</v>
      </c>
      <c r="T4" s="318">
        <v>1</v>
      </c>
      <c r="U4" s="318">
        <v>1</v>
      </c>
      <c r="Y4" s="321" t="s">
        <v>224</v>
      </c>
      <c r="Z4" s="322">
        <f>ISD</f>
        <v>37986</v>
      </c>
      <c r="AA4" s="323" t="s">
        <v>225</v>
      </c>
      <c r="AB4" s="323" t="s">
        <v>226</v>
      </c>
      <c r="AC4" s="324" t="s">
        <v>227</v>
      </c>
      <c r="AG4" s="325" t="s">
        <v>217</v>
      </c>
      <c r="AH4" s="326" t="str">
        <f t="shared" si="0"/>
        <v>AdS</v>
      </c>
      <c r="AI4" s="326" t="s">
        <v>218</v>
      </c>
      <c r="AJ4" s="325" t="s">
        <v>228</v>
      </c>
      <c r="AK4" s="326" t="str">
        <f t="shared" si="1"/>
        <v>None</v>
      </c>
      <c r="AL4" s="326" t="s">
        <v>73</v>
      </c>
      <c r="AM4" s="327" t="s">
        <v>79</v>
      </c>
      <c r="AN4" s="328"/>
      <c r="AO4" s="329"/>
      <c r="AP4" s="329"/>
      <c r="AQ4" s="327" t="s">
        <v>79</v>
      </c>
      <c r="AR4" s="330"/>
      <c r="AS4" s="330"/>
      <c r="AT4" s="326" t="s">
        <v>83</v>
      </c>
      <c r="AU4" s="326">
        <v>4</v>
      </c>
      <c r="AV4" s="331" t="s">
        <v>229</v>
      </c>
      <c r="AW4" s="326" t="s">
        <v>83</v>
      </c>
      <c r="AX4" s="326">
        <v>3</v>
      </c>
      <c r="AY4" s="331"/>
      <c r="BC4" s="678"/>
      <c r="BD4" s="681"/>
      <c r="BE4" s="684"/>
      <c r="BF4" s="687"/>
      <c r="BG4" s="678"/>
      <c r="BH4" s="669" t="s">
        <v>230</v>
      </c>
      <c r="BI4" s="670"/>
      <c r="BJ4" s="669" t="s">
        <v>231</v>
      </c>
      <c r="BK4" s="670"/>
      <c r="BL4" s="669" t="s">
        <v>232</v>
      </c>
      <c r="BM4" s="670"/>
      <c r="BN4" s="669" t="s">
        <v>233</v>
      </c>
      <c r="BO4" s="670"/>
      <c r="BP4" s="669" t="s">
        <v>234</v>
      </c>
      <c r="BQ4" s="670"/>
      <c r="BR4" s="669" t="s">
        <v>235</v>
      </c>
      <c r="BS4" s="670"/>
      <c r="BT4" s="669" t="s">
        <v>236</v>
      </c>
      <c r="BU4" s="670"/>
      <c r="BV4" s="669" t="s">
        <v>237</v>
      </c>
      <c r="BW4" s="670"/>
      <c r="BX4" s="669" t="s">
        <v>238</v>
      </c>
      <c r="BY4" s="670"/>
      <c r="BZ4" s="669" t="s">
        <v>239</v>
      </c>
      <c r="CA4" s="670"/>
      <c r="CB4" s="673" t="s">
        <v>230</v>
      </c>
      <c r="CC4" s="674"/>
      <c r="CD4" s="673" t="s">
        <v>231</v>
      </c>
      <c r="CE4" s="674"/>
      <c r="CF4" s="669" t="s">
        <v>230</v>
      </c>
      <c r="CG4" s="670"/>
    </row>
    <row r="5" spans="2:85" ht="14.4" x14ac:dyDescent="0.3">
      <c r="B5" s="316" t="s">
        <v>240</v>
      </c>
      <c r="C5" s="317">
        <f t="shared" ref="C5" si="4">IF(LEFT(INDEX($AT$3:$AT$51,MATCH($B5,$AJ$3:$AJ$51,0),1),1)="C",IF(VLOOKUP(State,Compact,3,FALSE)="Y",INT(MID(INDEX($AT$3:$AT$51,MATCH($B5,$AJ$3:$AJ$51,0),1),3,1)),IF(State="CA",INT(RIGHT(INDEX($AT$3:$AT$51,MATCH($B5,$AJ$3:$AJ$51,0),1),1)),INDEX($AU$3:$AU$51,MATCH($B5,$AJ$3:$AJ$51,0),1))),IF(AND(VLOOKUP(State,Compact,2,FALSE)="Y",INDEX($AT$3:$AT$51,MATCH($B5,$AJ$3:$AJ$51,0),1)&lt;&gt;"Standard",INDEX($AT$3:$AT$51,MATCH($B5,$AJ$3:$AJ$51,0),1)&lt;&gt;"Variable"),INT(RIGHT(INDEX($AT$3:$AT$51,MATCH($B5,$AJ$3:$AJ$51,0),1),1)),INDEX($AU$3:$AU$51,MATCH($B5,$AJ$3:$AJ$51,0),1)))</f>
        <v>6</v>
      </c>
      <c r="D5" s="318">
        <v>4</v>
      </c>
      <c r="E5" s="317">
        <f t="shared" ref="E5" si="5">IF(AND(INDEX($AW$3:$AW$51,MATCH($B5,$AJ$3:$AJ$51,0),1)&lt;&gt;"Standard",State="CA"),INT(RIGHT(INDEX($AW$3:$AW$51,MATCH($B5,$AJ$3:$AJ$51,0),1),1)),INDEX($AX$3:$AX$51,MATCH($B5,$AJ$3:$AJ$51,0),1))</f>
        <v>1</v>
      </c>
      <c r="F5" s="318">
        <v>1</v>
      </c>
      <c r="G5" s="318" t="s">
        <v>241</v>
      </c>
      <c r="H5" s="319">
        <v>7</v>
      </c>
      <c r="I5" s="319">
        <v>2</v>
      </c>
      <c r="J5" s="318">
        <v>3</v>
      </c>
      <c r="K5" s="318">
        <v>5</v>
      </c>
      <c r="L5" s="317" cm="1">
        <f t="array" ref="L5">INDEX($AO$3:$AP$51,MATCH($B5,$AJ$3:$AJ$51,0),INDEX($AJ$58:$AJ$63,MATCH(LivBen,$AI$58:$AI$63,0),1))</f>
        <v>3</v>
      </c>
      <c r="M5" s="319">
        <v>0</v>
      </c>
      <c r="N5" s="318">
        <v>1</v>
      </c>
      <c r="O5" s="318">
        <v>1</v>
      </c>
      <c r="P5" s="320">
        <v>1</v>
      </c>
      <c r="Q5" s="318">
        <v>1</v>
      </c>
      <c r="R5" s="318" t="s">
        <v>223</v>
      </c>
      <c r="S5" s="318" t="s">
        <v>223</v>
      </c>
      <c r="T5" s="318">
        <v>1</v>
      </c>
      <c r="U5" s="318">
        <v>1</v>
      </c>
      <c r="Y5" s="321" t="s">
        <v>242</v>
      </c>
      <c r="Z5" s="322">
        <f>ISD</f>
        <v>37986</v>
      </c>
      <c r="AA5" s="323" t="s">
        <v>243</v>
      </c>
      <c r="AB5" s="323" t="s">
        <v>244</v>
      </c>
      <c r="AC5" s="324" t="s">
        <v>245</v>
      </c>
      <c r="AG5" s="325" t="s">
        <v>217</v>
      </c>
      <c r="AH5" s="326" t="str">
        <f t="shared" si="0"/>
        <v>AdS</v>
      </c>
      <c r="AI5" s="326" t="s">
        <v>218</v>
      </c>
      <c r="AJ5" s="325" t="s">
        <v>246</v>
      </c>
      <c r="AK5" s="326" t="str">
        <f t="shared" si="1"/>
        <v>None</v>
      </c>
      <c r="AL5" s="326" t="s">
        <v>73</v>
      </c>
      <c r="AM5" s="327" t="s">
        <v>79</v>
      </c>
      <c r="AN5" s="328"/>
      <c r="AO5" s="329"/>
      <c r="AP5" s="333"/>
      <c r="AQ5" s="334"/>
      <c r="AR5" s="335"/>
      <c r="AS5" s="335"/>
      <c r="AT5" s="326" t="s">
        <v>83</v>
      </c>
      <c r="AU5" s="326">
        <v>4</v>
      </c>
      <c r="AV5" s="331" t="s">
        <v>247</v>
      </c>
      <c r="AW5" s="326" t="s">
        <v>83</v>
      </c>
      <c r="AX5" s="326">
        <v>3</v>
      </c>
      <c r="AY5" s="331"/>
      <c r="BC5" s="678"/>
      <c r="BD5" s="681"/>
      <c r="BE5" s="684"/>
      <c r="BF5" s="687"/>
      <c r="BG5" s="678"/>
      <c r="BH5" s="669" t="s">
        <v>248</v>
      </c>
      <c r="BI5" s="670"/>
      <c r="BJ5" s="669" t="s">
        <v>249</v>
      </c>
      <c r="BK5" s="670"/>
      <c r="BL5" s="669" t="s">
        <v>250</v>
      </c>
      <c r="BM5" s="670"/>
      <c r="BN5" s="669" t="s">
        <v>251</v>
      </c>
      <c r="BO5" s="670"/>
      <c r="BP5" s="669" t="s">
        <v>252</v>
      </c>
      <c r="BQ5" s="670"/>
      <c r="BR5" s="669" t="s">
        <v>253</v>
      </c>
      <c r="BS5" s="670"/>
      <c r="BT5" s="669" t="s">
        <v>254</v>
      </c>
      <c r="BU5" s="670"/>
      <c r="BV5" s="669" t="s">
        <v>255</v>
      </c>
      <c r="BW5" s="670"/>
      <c r="BX5" s="669" t="s">
        <v>256</v>
      </c>
      <c r="BY5" s="670"/>
      <c r="BZ5" s="669" t="s">
        <v>257</v>
      </c>
      <c r="CA5" s="670"/>
      <c r="CB5" s="673" t="s">
        <v>248</v>
      </c>
      <c r="CC5" s="674"/>
      <c r="CD5" s="673" t="s">
        <v>249</v>
      </c>
      <c r="CE5" s="674"/>
      <c r="CF5" s="669" t="s">
        <v>258</v>
      </c>
      <c r="CG5" s="670"/>
    </row>
    <row r="6" spans="2:85" ht="14.4" x14ac:dyDescent="0.3">
      <c r="B6" s="316" t="s">
        <v>259</v>
      </c>
      <c r="C6" s="317">
        <f t="shared" ref="C6" si="6">IF(LEFT(INDEX($AT$3:$AT$51,MATCH($B6,$AJ$3:$AJ$51,0),1),1)="C",IF(VLOOKUP(State,Compact,3,FALSE)="Y",INT(MID(INDEX($AT$3:$AT$51,MATCH($B6,$AJ$3:$AJ$51,0),1),3,1)),IF(State="CA",INT(RIGHT(INDEX($AT$3:$AT$51,MATCH($B6,$AJ$3:$AJ$51,0),1),1)),INDEX($AU$3:$AU$51,MATCH($B6,$AJ$3:$AJ$51,0),1))),IF(AND(VLOOKUP(State,Compact,2,FALSE)="Y",INDEX($AT$3:$AT$51,MATCH($B6,$AJ$3:$AJ$51,0),1)&lt;&gt;"Standard",INDEX($AT$3:$AT$51,MATCH($B6,$AJ$3:$AJ$51,0),1)&lt;&gt;"Variable"),INT(RIGHT(INDEX($AT$3:$AT$51,MATCH($B6,$AJ$3:$AJ$51,0),1),1)),INDEX($AU$3:$AU$51,MATCH($B6,$AJ$3:$AJ$51,0),1)))</f>
        <v>6</v>
      </c>
      <c r="D6" s="318">
        <v>4</v>
      </c>
      <c r="E6" s="317">
        <f t="shared" ref="E6" si="7">IF(AND(INDEX($AW$3:$AW$51,MATCH($B6,$AJ$3:$AJ$51,0),1)&lt;&gt;"Standard",State="CA"),INT(RIGHT(INDEX($AW$3:$AW$51,MATCH($B6,$AJ$3:$AJ$51,0),1),1)),INDEX($AX$3:$AX$51,MATCH($B6,$AJ$3:$AJ$51,0),1))</f>
        <v>1</v>
      </c>
      <c r="F6" s="318">
        <v>1</v>
      </c>
      <c r="G6" s="318" t="s">
        <v>73</v>
      </c>
      <c r="H6" s="319">
        <v>8</v>
      </c>
      <c r="I6" s="319">
        <v>4</v>
      </c>
      <c r="J6" s="318">
        <v>1</v>
      </c>
      <c r="K6" s="318">
        <v>1</v>
      </c>
      <c r="L6" s="317" cm="1">
        <f t="array" ref="L6">INDEX($AO$3:$AP$51,MATCH($B6,$AJ$3:$AJ$51,0),INDEX($AJ$58:$AJ$63,MATCH(LivBen,$AI$58:$AI$63,0),1))</f>
        <v>0</v>
      </c>
      <c r="M6" s="319">
        <v>0</v>
      </c>
      <c r="N6" s="318">
        <v>1</v>
      </c>
      <c r="O6" s="318">
        <v>1</v>
      </c>
      <c r="P6" s="320">
        <v>1</v>
      </c>
      <c r="Q6" s="318">
        <v>1</v>
      </c>
      <c r="R6" s="318" t="s">
        <v>223</v>
      </c>
      <c r="S6" s="318" t="s">
        <v>223</v>
      </c>
      <c r="T6" s="318">
        <v>1</v>
      </c>
      <c r="U6" s="318">
        <v>1</v>
      </c>
      <c r="Y6" s="321" t="s">
        <v>260</v>
      </c>
      <c r="Z6" s="322">
        <f>EOMONTH(PFED,-120)</f>
        <v>42369</v>
      </c>
      <c r="AA6" s="323" t="s">
        <v>261</v>
      </c>
      <c r="AB6" s="323" t="s">
        <v>262</v>
      </c>
      <c r="AC6" s="324" t="s">
        <v>263</v>
      </c>
      <c r="AG6" s="336" t="s">
        <v>75</v>
      </c>
      <c r="AH6" s="337" t="str">
        <f t="shared" si="0"/>
        <v>InS</v>
      </c>
      <c r="AI6" s="337" t="s">
        <v>264</v>
      </c>
      <c r="AJ6" s="336" t="s">
        <v>222</v>
      </c>
      <c r="AK6" s="337" t="str">
        <f t="shared" si="1"/>
        <v>None</v>
      </c>
      <c r="AL6" s="337" t="s">
        <v>73</v>
      </c>
      <c r="AM6" s="338" t="s">
        <v>79</v>
      </c>
      <c r="AN6" s="339"/>
      <c r="AO6" s="340"/>
      <c r="AP6" s="340"/>
      <c r="AQ6" s="338" t="s">
        <v>79</v>
      </c>
      <c r="AR6" s="341"/>
      <c r="AS6" s="341"/>
      <c r="AT6" s="337" t="s">
        <v>265</v>
      </c>
      <c r="AU6" s="337">
        <v>1</v>
      </c>
      <c r="AV6" s="342" t="s">
        <v>266</v>
      </c>
      <c r="AW6" s="337" t="s">
        <v>83</v>
      </c>
      <c r="AX6" s="337">
        <v>1</v>
      </c>
      <c r="AY6" s="342"/>
      <c r="BC6" s="679"/>
      <c r="BD6" s="682"/>
      <c r="BE6" s="685"/>
      <c r="BF6" s="688"/>
      <c r="BG6" s="679"/>
      <c r="BH6" s="314" t="str">
        <f>"Single Life "&amp;RIGHT(BH4,LEN(BH4)-FIND(" ",BH4))</f>
        <v>Single Life 1</v>
      </c>
      <c r="BI6" s="292" t="str">
        <f>"Joint Life "&amp;RIGHT(BH4,LEN(BH4)-FIND(" ",BH4))</f>
        <v>Joint Life 1</v>
      </c>
      <c r="BJ6" s="314" t="str">
        <f>"Single Life "&amp;RIGHT(BJ4,LEN(BJ4)-FIND(" ",BJ4))</f>
        <v>Single Life 2</v>
      </c>
      <c r="BK6" s="292" t="str">
        <f>"Joint Life "&amp;RIGHT(BJ4,LEN(BJ4)-FIND(" ",BJ4))</f>
        <v>Joint Life 2</v>
      </c>
      <c r="BL6" s="314" t="str">
        <f>"Single Life "&amp;RIGHT(BL4,LEN(BL4)-FIND(" ",BL4))</f>
        <v>Single Life 3</v>
      </c>
      <c r="BM6" s="292" t="str">
        <f>"Joint Life "&amp;RIGHT(BL4,LEN(BL4)-FIND(" ",BL4))</f>
        <v>Joint Life 3</v>
      </c>
      <c r="BN6" s="314" t="str">
        <f>"Single Life "&amp;RIGHT(BN4,LEN(BN4)-FIND(" ",BN4))</f>
        <v>Single Life 4</v>
      </c>
      <c r="BO6" s="292" t="str">
        <f>"Joint Life "&amp;RIGHT(BN4,LEN(BN4)-FIND(" ",BN4))</f>
        <v>Joint Life 4</v>
      </c>
      <c r="BP6" s="314" t="str">
        <f>"Single Life "&amp;RIGHT(BP4,LEN(BP4)-FIND(" ",BP4))</f>
        <v>Single Life 5</v>
      </c>
      <c r="BQ6" s="292" t="str">
        <f>"Joint Life "&amp;RIGHT(BP4,LEN(BP4)-FIND(" ",BP4))</f>
        <v>Joint Life 5</v>
      </c>
      <c r="BR6" s="314" t="str">
        <f>"Single Life "&amp;RIGHT(BR4,LEN(BR4)-FIND(" ",BR4))</f>
        <v>Single Life 6</v>
      </c>
      <c r="BS6" s="292" t="str">
        <f>"Joint Life "&amp;RIGHT(BR4,LEN(BR4)-FIND(" ",BR4))</f>
        <v>Joint Life 6</v>
      </c>
      <c r="BT6" s="314" t="str">
        <f>"Single Life "&amp;RIGHT(BT4,LEN(BT4)-FIND(" ",BT4))</f>
        <v>Single Life 7</v>
      </c>
      <c r="BU6" s="292" t="str">
        <f>"Joint Life "&amp;RIGHT(BT4,LEN(BT4)-FIND(" ",BT4))</f>
        <v>Joint Life 7</v>
      </c>
      <c r="BV6" s="314" t="str">
        <f>"Single Life "&amp;RIGHT(BV4,LEN(BV4)-FIND(" ",BV4))</f>
        <v>Single Life 8</v>
      </c>
      <c r="BW6" s="292" t="str">
        <f>"Joint Life "&amp;RIGHT(BV4,LEN(BV4)-FIND(" ",BV4))</f>
        <v>Joint Life 8</v>
      </c>
      <c r="BX6" s="314" t="str">
        <f>"Single Life "&amp;RIGHT(BX4,LEN(BX4)-FIND(" ",BX4))</f>
        <v>Single Life 9</v>
      </c>
      <c r="BY6" s="292" t="str">
        <f>"Joint Life "&amp;RIGHT(BX4,LEN(BX4)-FIND(" ",BX4))</f>
        <v>Joint Life 9</v>
      </c>
      <c r="BZ6" s="314" t="str">
        <f>"Single Life "&amp;RIGHT(BZ4,LEN(BZ4)-FIND(" ",BZ4))</f>
        <v>Single Life 10</v>
      </c>
      <c r="CA6" s="292" t="str">
        <f>"Joint Life "&amp;RIGHT(BZ4,LEN(BZ4)-FIND(" ",BZ4))</f>
        <v>Joint Life 10</v>
      </c>
      <c r="CB6" s="315" t="str">
        <f>"Single Life "&amp;RIGHT(CB4,LEN(CB4)-FIND(" ",CB4))</f>
        <v>Single Life 1</v>
      </c>
      <c r="CC6" s="332" t="str">
        <f>"Joint Life "&amp;RIGHT(CB4,LEN(CB4)-FIND(" ",CB4))</f>
        <v>Joint Life 1</v>
      </c>
      <c r="CD6" s="315" t="str">
        <f>"Single Life "&amp;RIGHT(CD4,LEN(CD4)-FIND(" ",CD4))</f>
        <v>Single Life 2</v>
      </c>
      <c r="CE6" s="332" t="str">
        <f>"Joint Life "&amp;RIGHT(CD4,LEN(CD4)-FIND(" ",CD4))</f>
        <v>Joint Life 2</v>
      </c>
      <c r="CF6" s="314" t="str">
        <f>"Single Life "&amp;RIGHT(CF4,LEN(CF4)-FIND(" ",CF4))</f>
        <v>Single Life 1</v>
      </c>
      <c r="CG6" s="292" t="str">
        <f>"Joint Life "&amp;RIGHT(CF4,LEN(CF4)-FIND(" ",CF4))</f>
        <v>Joint Life 1</v>
      </c>
    </row>
    <row r="7" spans="2:85" ht="14.4" x14ac:dyDescent="0.3">
      <c r="B7" s="316" t="s">
        <v>267</v>
      </c>
      <c r="C7" s="317">
        <f t="shared" ref="C7" si="8">IF(LEFT(INDEX($AT$3:$AT$51,MATCH($B7,$AJ$3:$AJ$51,0),1),1)="C",IF(VLOOKUP(State,Compact,3,FALSE)="Y",INT(MID(INDEX($AT$3:$AT$51,MATCH($B7,$AJ$3:$AJ$51,0),1),3,1)),IF(State="CA",INT(RIGHT(INDEX($AT$3:$AT$51,MATCH($B7,$AJ$3:$AJ$51,0),1),1)),INDEX($AU$3:$AU$51,MATCH($B7,$AJ$3:$AJ$51,0),1))),IF(AND(VLOOKUP(State,Compact,2,FALSE)="Y",INDEX($AT$3:$AT$51,MATCH($B7,$AJ$3:$AJ$51,0),1)&lt;&gt;"Standard",INDEX($AT$3:$AT$51,MATCH($B7,$AJ$3:$AJ$51,0),1)&lt;&gt;"Variable"),INT(RIGHT(INDEX($AT$3:$AT$51,MATCH($B7,$AJ$3:$AJ$51,0),1),1)),INDEX($AU$3:$AU$51,MATCH($B7,$AJ$3:$AJ$51,0),1)))</f>
        <v>6</v>
      </c>
      <c r="D7" s="318">
        <v>4</v>
      </c>
      <c r="E7" s="317">
        <f t="shared" ref="E7" si="9">IF(AND(INDEX($AW$3:$AW$51,MATCH($B7,$AJ$3:$AJ$51,0),1)&lt;&gt;"Standard",State="CA"),INT(RIGHT(INDEX($AW$3:$AW$51,MATCH($B7,$AJ$3:$AJ$51,0),1),1)),INDEX($AX$3:$AX$51,MATCH($B7,$AJ$3:$AJ$51,0),1))</f>
        <v>1</v>
      </c>
      <c r="F7" s="318">
        <v>1</v>
      </c>
      <c r="G7" s="318" t="s">
        <v>241</v>
      </c>
      <c r="H7" s="319">
        <v>6</v>
      </c>
      <c r="I7" s="319">
        <v>3</v>
      </c>
      <c r="J7" s="318">
        <v>1</v>
      </c>
      <c r="K7" s="318">
        <v>1</v>
      </c>
      <c r="L7" s="317" cm="1">
        <f t="array" ref="L7">INDEX($AO$3:$AP$51,MATCH($B7,$AJ$3:$AJ$51,0),INDEX($AJ$58:$AJ$63,MATCH(LivBen,$AI$58:$AI$63,0),1))</f>
        <v>1</v>
      </c>
      <c r="M7" s="319">
        <v>0</v>
      </c>
      <c r="N7" s="318">
        <v>1</v>
      </c>
      <c r="O7" s="318">
        <v>1</v>
      </c>
      <c r="P7" s="320">
        <v>1</v>
      </c>
      <c r="Q7" s="318">
        <v>1</v>
      </c>
      <c r="R7" s="318" t="s">
        <v>223</v>
      </c>
      <c r="S7" s="318" t="s">
        <v>223</v>
      </c>
      <c r="T7" s="318">
        <v>1</v>
      </c>
      <c r="U7" s="318">
        <v>1</v>
      </c>
      <c r="Y7" s="321" t="s">
        <v>268</v>
      </c>
      <c r="Z7" s="322">
        <f>EOMONTH(PFED,-120)</f>
        <v>42369</v>
      </c>
      <c r="AA7" s="323" t="s">
        <v>269</v>
      </c>
      <c r="AB7" s="323" t="s">
        <v>270</v>
      </c>
      <c r="AC7" s="324" t="s">
        <v>271</v>
      </c>
      <c r="AG7" s="336" t="s">
        <v>75</v>
      </c>
      <c r="AH7" s="337" t="str">
        <f t="shared" si="0"/>
        <v>InS</v>
      </c>
      <c r="AI7" s="337" t="s">
        <v>264</v>
      </c>
      <c r="AJ7" s="336" t="s">
        <v>240</v>
      </c>
      <c r="AK7" s="337" t="str">
        <f t="shared" si="1"/>
        <v>LIMLIPMF</v>
      </c>
      <c r="AL7" s="337" t="s">
        <v>241</v>
      </c>
      <c r="AM7" s="338" t="s">
        <v>250</v>
      </c>
      <c r="AN7" s="339" t="s">
        <v>251</v>
      </c>
      <c r="AO7" s="340">
        <v>3</v>
      </c>
      <c r="AP7" s="340">
        <v>4</v>
      </c>
      <c r="AQ7" s="338" t="s">
        <v>272</v>
      </c>
      <c r="AR7" s="341" t="s">
        <v>273</v>
      </c>
      <c r="AS7" s="341" t="s">
        <v>274</v>
      </c>
      <c r="AT7" s="337" t="s">
        <v>265</v>
      </c>
      <c r="AU7" s="337">
        <v>1</v>
      </c>
      <c r="AV7" s="342" t="s">
        <v>266</v>
      </c>
      <c r="AW7" s="337" t="s">
        <v>83</v>
      </c>
      <c r="AX7" s="337">
        <v>1</v>
      </c>
      <c r="AY7" s="342"/>
      <c r="BC7" s="343">
        <v>0</v>
      </c>
      <c r="BD7" s="344">
        <f t="shared" ref="BD7:BD39" si="10">IF($BC$2="None",$BG7,INDEX($BH$7:$CA$39,MATCH($BC7,$BC$7:$BC$39,0),MATCH($BC$2,$BH$6:$CA$6,0)))</f>
        <v>0</v>
      </c>
      <c r="BE7" s="345">
        <f t="shared" ref="BE7:BE39" si="11">IF($BC$2="None",$BG7,IFERROR(INDEX($CB$7:$CE$39,MATCH($BC7,$BC$7:$BC$39,0),MATCH($BC$2,$CB$6:$CE$6,0)),BD7))</f>
        <v>0</v>
      </c>
      <c r="BF7" s="346">
        <f t="shared" ref="BF7" si="12">IF(OR($BC$2="None",RIGHT(Category,2)&lt;&gt;"NY"),$BG7,INDEX($CF$7:$CG$39,MATCH($BC7,$BC$7:$BC$39,0),MATCH($BC$2,$CF$6:$CG$6,0)))</f>
        <v>0</v>
      </c>
      <c r="BG7" s="347">
        <v>0</v>
      </c>
      <c r="BH7" s="348">
        <v>0</v>
      </c>
      <c r="BI7" s="349">
        <v>0</v>
      </c>
      <c r="BJ7" s="348">
        <v>0</v>
      </c>
      <c r="BK7" s="349">
        <v>0</v>
      </c>
      <c r="BL7" s="348">
        <v>0</v>
      </c>
      <c r="BM7" s="349">
        <v>0</v>
      </c>
      <c r="BN7" s="348">
        <v>0</v>
      </c>
      <c r="BO7" s="349">
        <v>0</v>
      </c>
      <c r="BP7" s="348">
        <v>0</v>
      </c>
      <c r="BQ7" s="349">
        <v>0</v>
      </c>
      <c r="BR7" s="348">
        <v>0</v>
      </c>
      <c r="BS7" s="349">
        <v>0</v>
      </c>
      <c r="BT7" s="348">
        <v>0</v>
      </c>
      <c r="BU7" s="349">
        <v>0</v>
      </c>
      <c r="BV7" s="348">
        <v>0</v>
      </c>
      <c r="BW7" s="349">
        <v>0</v>
      </c>
      <c r="BX7" s="348">
        <v>0</v>
      </c>
      <c r="BY7" s="349">
        <v>0</v>
      </c>
      <c r="BZ7" s="348">
        <v>0</v>
      </c>
      <c r="CA7" s="349">
        <v>0</v>
      </c>
      <c r="CB7" s="350">
        <v>0</v>
      </c>
      <c r="CC7" s="351">
        <v>0</v>
      </c>
      <c r="CD7" s="350">
        <v>0</v>
      </c>
      <c r="CE7" s="351">
        <v>0</v>
      </c>
      <c r="CF7" s="352">
        <v>0</v>
      </c>
      <c r="CG7" s="353">
        <v>0</v>
      </c>
    </row>
    <row r="8" spans="2:85" ht="14.4" x14ac:dyDescent="0.3">
      <c r="B8" s="316" t="s">
        <v>275</v>
      </c>
      <c r="C8" s="317">
        <f t="shared" ref="C8" si="13">IF(LEFT(INDEX($AT$3:$AT$51,MATCH($B8,$AJ$3:$AJ$51,0),1),1)="C",IF(VLOOKUP(State,Compact,3,FALSE)="Y",INT(MID(INDEX($AT$3:$AT$51,MATCH($B8,$AJ$3:$AJ$51,0),1),3,1)),IF(State="CA",INT(RIGHT(INDEX($AT$3:$AT$51,MATCH($B8,$AJ$3:$AJ$51,0),1),1)),INDEX($AU$3:$AU$51,MATCH($B8,$AJ$3:$AJ$51,0),1))),IF(AND(VLOOKUP(State,Compact,2,FALSE)="Y",INDEX($AT$3:$AT$51,MATCH($B8,$AJ$3:$AJ$51,0),1)&lt;&gt;"Standard",INDEX($AT$3:$AT$51,MATCH($B8,$AJ$3:$AJ$51,0),1)&lt;&gt;"Variable"),INT(RIGHT(INDEX($AT$3:$AT$51,MATCH($B8,$AJ$3:$AJ$51,0),1),1)),INDEX($AU$3:$AU$51,MATCH($B8,$AJ$3:$AJ$51,0),1)))</f>
        <v>6</v>
      </c>
      <c r="D8" s="318">
        <v>4</v>
      </c>
      <c r="E8" s="317">
        <f t="shared" ref="E8" si="14">IF(AND(INDEX($AW$3:$AW$51,MATCH($B8,$AJ$3:$AJ$51,0),1)&lt;&gt;"Standard",State="CA"),INT(RIGHT(INDEX($AW$3:$AW$51,MATCH($B8,$AJ$3:$AJ$51,0),1),1)),INDEX($AX$3:$AX$51,MATCH($B8,$AJ$3:$AJ$51,0),1))</f>
        <v>1</v>
      </c>
      <c r="F8" s="318">
        <v>1</v>
      </c>
      <c r="G8" s="318" t="s">
        <v>241</v>
      </c>
      <c r="H8" s="319">
        <v>6</v>
      </c>
      <c r="I8" s="319">
        <v>3</v>
      </c>
      <c r="J8" s="318">
        <v>1</v>
      </c>
      <c r="K8" s="318">
        <v>1</v>
      </c>
      <c r="L8" s="317" cm="1">
        <f t="array" ref="L8">INDEX($AO$3:$AP$51,MATCH($B8,$AJ$3:$AJ$51,0),INDEX($AJ$58:$AJ$63,MATCH(LivBen,$AI$58:$AI$63,0),1))</f>
        <v>2</v>
      </c>
      <c r="M8" s="319">
        <v>0</v>
      </c>
      <c r="N8" s="318">
        <v>1</v>
      </c>
      <c r="O8" s="318">
        <v>1</v>
      </c>
      <c r="P8" s="320">
        <v>1</v>
      </c>
      <c r="Q8" s="318">
        <v>1</v>
      </c>
      <c r="R8" s="318" t="s">
        <v>223</v>
      </c>
      <c r="S8" s="318" t="s">
        <v>223</v>
      </c>
      <c r="T8" s="318">
        <v>1</v>
      </c>
      <c r="U8" s="318">
        <v>1</v>
      </c>
      <c r="Y8" s="354" t="s">
        <v>276</v>
      </c>
      <c r="Z8" s="355">
        <f>EOMONTH(PFED,-120)</f>
        <v>42369</v>
      </c>
      <c r="AA8" s="356" t="s">
        <v>277</v>
      </c>
      <c r="AB8" s="356" t="s">
        <v>278</v>
      </c>
      <c r="AC8" s="357" t="s">
        <v>279</v>
      </c>
      <c r="AG8" s="336" t="s">
        <v>75</v>
      </c>
      <c r="AH8" s="337" t="str">
        <f t="shared" si="0"/>
        <v>InS</v>
      </c>
      <c r="AI8" s="337" t="s">
        <v>264</v>
      </c>
      <c r="AJ8" s="336" t="s">
        <v>280</v>
      </c>
      <c r="AK8" s="337" t="str">
        <f t="shared" si="1"/>
        <v>None</v>
      </c>
      <c r="AL8" s="337" t="s">
        <v>73</v>
      </c>
      <c r="AM8" s="338" t="s">
        <v>79</v>
      </c>
      <c r="AN8" s="339"/>
      <c r="AO8" s="340"/>
      <c r="AP8" s="340"/>
      <c r="AQ8" s="338" t="s">
        <v>79</v>
      </c>
      <c r="AR8" s="341"/>
      <c r="AS8" s="341"/>
      <c r="AT8" s="337" t="s">
        <v>83</v>
      </c>
      <c r="AU8" s="337">
        <v>3</v>
      </c>
      <c r="AV8" s="342"/>
      <c r="AW8" s="337" t="s">
        <v>83</v>
      </c>
      <c r="AX8" s="337">
        <v>3</v>
      </c>
      <c r="AY8" s="342"/>
      <c r="BC8" s="343">
        <v>50</v>
      </c>
      <c r="BD8" s="344">
        <f t="shared" si="10"/>
        <v>0</v>
      </c>
      <c r="BE8" s="345">
        <f t="shared" si="11"/>
        <v>0</v>
      </c>
      <c r="BF8" s="358">
        <f t="shared" ref="BF8" si="15">IF(OR($BC$2="None",RIGHT(Category,2)&lt;&gt;"NY"),$BG8,INDEX($CF$7:$CG$39,MATCH($BC8,$BC$7:$BC$39,0),MATCH($BC$2,$CF$6:$CG$6,0)))</f>
        <v>0</v>
      </c>
      <c r="BG8" s="347">
        <v>0</v>
      </c>
      <c r="BH8" s="359">
        <v>5.5E-2</v>
      </c>
      <c r="BI8" s="360">
        <v>0.05</v>
      </c>
      <c r="BJ8" s="359">
        <v>0.06</v>
      </c>
      <c r="BK8" s="360">
        <v>5.5E-2</v>
      </c>
      <c r="BL8" s="359">
        <v>6.0999999999999999E-2</v>
      </c>
      <c r="BM8" s="360">
        <v>5.6000000000000001E-2</v>
      </c>
      <c r="BN8" s="359">
        <v>5.6500000000000002E-2</v>
      </c>
      <c r="BO8" s="360">
        <v>5.1499999999999997E-2</v>
      </c>
      <c r="BP8" s="359">
        <v>6.3500000000000001E-2</v>
      </c>
      <c r="BQ8" s="360">
        <v>5.8500000000000003E-2</v>
      </c>
      <c r="BR8" s="359">
        <v>5.8999999999999997E-2</v>
      </c>
      <c r="BS8" s="360">
        <v>5.3999999999999999E-2</v>
      </c>
      <c r="BT8" s="359">
        <v>5.3499999999999999E-2</v>
      </c>
      <c r="BU8" s="360">
        <v>4.8500000000000001E-2</v>
      </c>
      <c r="BV8" s="359">
        <v>4.7500000000000001E-2</v>
      </c>
      <c r="BW8" s="360">
        <v>4.2500000000000003E-2</v>
      </c>
      <c r="BX8" s="359">
        <v>5.6000000000000001E-2</v>
      </c>
      <c r="BY8" s="360">
        <v>5.0999999999999997E-2</v>
      </c>
      <c r="BZ8" s="359">
        <v>0.05</v>
      </c>
      <c r="CA8" s="360">
        <v>4.4999999999999998E-2</v>
      </c>
      <c r="CB8" s="361">
        <v>5.5E-2</v>
      </c>
      <c r="CC8" s="362">
        <v>0.05</v>
      </c>
      <c r="CD8" s="361">
        <v>0.05</v>
      </c>
      <c r="CE8" s="362">
        <v>4.4999999999999998E-2</v>
      </c>
      <c r="CF8" s="363">
        <v>0.05</v>
      </c>
      <c r="CG8" s="364">
        <v>4.4999999999999998E-2</v>
      </c>
    </row>
    <row r="9" spans="2:85" ht="14.4" x14ac:dyDescent="0.3">
      <c r="B9" s="316" t="s">
        <v>281</v>
      </c>
      <c r="C9" s="317">
        <f t="shared" ref="C9" si="16">IF(LEFT(INDEX($AT$3:$AT$51,MATCH($B9,$AJ$3:$AJ$51,0),1),1)="C",IF(VLOOKUP(State,Compact,3,FALSE)="Y",INT(MID(INDEX($AT$3:$AT$51,MATCH($B9,$AJ$3:$AJ$51,0),1),3,1)),IF(State="CA",INT(RIGHT(INDEX($AT$3:$AT$51,MATCH($B9,$AJ$3:$AJ$51,0),1),1)),INDEX($AU$3:$AU$51,MATCH($B9,$AJ$3:$AJ$51,0),1))),IF(AND(VLOOKUP(State,Compact,2,FALSE)="Y",INDEX($AT$3:$AT$51,MATCH($B9,$AJ$3:$AJ$51,0),1)&lt;&gt;"Standard",INDEX($AT$3:$AT$51,MATCH($B9,$AJ$3:$AJ$51,0),1)&lt;&gt;"Variable"),INT(RIGHT(INDEX($AT$3:$AT$51,MATCH($B9,$AJ$3:$AJ$51,0),1),1)),INDEX($AU$3:$AU$51,MATCH($B9,$AJ$3:$AJ$51,0),1)))</f>
        <v>3</v>
      </c>
      <c r="D9" s="318">
        <v>4</v>
      </c>
      <c r="E9" s="317">
        <f t="shared" ref="E9" si="17">IF(AND(INDEX($AW$3:$AW$51,MATCH($B9,$AJ$3:$AJ$51,0),1)&lt;&gt;"Standard",State="CA"),INT(RIGHT(INDEX($AW$3:$AW$51,MATCH($B9,$AJ$3:$AJ$51,0),1),1)),INDEX($AX$3:$AX$51,MATCH($B9,$AJ$3:$AJ$51,0),1))</f>
        <v>3</v>
      </c>
      <c r="F9" s="318">
        <v>1</v>
      </c>
      <c r="G9" s="318" t="s">
        <v>73</v>
      </c>
      <c r="H9" s="319">
        <v>8</v>
      </c>
      <c r="I9" s="319">
        <v>4</v>
      </c>
      <c r="J9" s="318">
        <v>1</v>
      </c>
      <c r="K9" s="318">
        <v>4</v>
      </c>
      <c r="L9" s="317" cm="1">
        <f t="array" ref="L9">INDEX($AO$3:$AP$51,MATCH($B9,$AJ$3:$AJ$51,0),INDEX($AJ$58:$AJ$63,MATCH(LivBen,$AI$58:$AI$63,0),1))</f>
        <v>0</v>
      </c>
      <c r="M9" s="319">
        <v>0</v>
      </c>
      <c r="N9" s="318">
        <v>1</v>
      </c>
      <c r="O9" s="318">
        <v>1</v>
      </c>
      <c r="P9" s="320">
        <v>1</v>
      </c>
      <c r="Q9" s="318">
        <v>1</v>
      </c>
      <c r="R9" s="318" t="s">
        <v>223</v>
      </c>
      <c r="S9" s="318" t="s">
        <v>282</v>
      </c>
      <c r="T9" s="318">
        <v>1</v>
      </c>
      <c r="U9" s="318">
        <v>1</v>
      </c>
      <c r="Z9" s="30"/>
      <c r="AA9" s="30"/>
      <c r="AB9" s="30"/>
      <c r="AC9" s="30"/>
      <c r="AG9" s="336" t="s">
        <v>75</v>
      </c>
      <c r="AH9" s="337" t="str">
        <f t="shared" si="0"/>
        <v>InS</v>
      </c>
      <c r="AI9" s="337" t="s">
        <v>264</v>
      </c>
      <c r="AJ9" s="336" t="s">
        <v>283</v>
      </c>
      <c r="AK9" s="337" t="str">
        <f t="shared" si="1"/>
        <v>None</v>
      </c>
      <c r="AL9" s="337" t="s">
        <v>73</v>
      </c>
      <c r="AM9" s="338" t="s">
        <v>79</v>
      </c>
      <c r="AN9" s="339"/>
      <c r="AO9" s="340"/>
      <c r="AP9" s="340"/>
      <c r="AQ9" s="338" t="s">
        <v>79</v>
      </c>
      <c r="AR9" s="341"/>
      <c r="AS9" s="341"/>
      <c r="AT9" s="337" t="s">
        <v>284</v>
      </c>
      <c r="AU9" s="365" t="str" cm="1">
        <f t="array" ref="AU9">IFERROR(INDEX($AI$184:$AM$193,MATCH($AJ9&amp;"|"&amp;"CDSC Period Reference",$AG$184:$AG$193&amp;"|"&amp;$AH$184:$AH$193,0),MATCH(CDSCPSel,_xlfn.ANCHORARRAY(AI182),0)),"-")</f>
        <v>-</v>
      </c>
      <c r="AV9" s="342"/>
      <c r="AW9" s="337" t="s">
        <v>83</v>
      </c>
      <c r="AX9" s="337">
        <v>3</v>
      </c>
      <c r="AY9" s="342"/>
      <c r="BC9" s="343">
        <v>51</v>
      </c>
      <c r="BD9" s="344">
        <f t="shared" si="10"/>
        <v>0</v>
      </c>
      <c r="BE9" s="345">
        <f t="shared" si="11"/>
        <v>0</v>
      </c>
      <c r="BF9" s="358">
        <f t="shared" ref="BF9" si="18">IF(OR($BC$2="None",RIGHT(Category,2)&lt;&gt;"NY"),$BG9,INDEX($CF$7:$CG$39,MATCH($BC9,$BC$7:$BC$39,0),MATCH($BC$2,$CF$6:$CG$6,0)))</f>
        <v>0</v>
      </c>
      <c r="BG9" s="347">
        <v>0</v>
      </c>
      <c r="BH9" s="348">
        <f t="shared" ref="BH9:BS17" si="19">BH8</f>
        <v>5.5E-2</v>
      </c>
      <c r="BI9" s="349">
        <f t="shared" si="19"/>
        <v>0.05</v>
      </c>
      <c r="BJ9" s="348">
        <f t="shared" si="19"/>
        <v>0.06</v>
      </c>
      <c r="BK9" s="349">
        <f t="shared" si="19"/>
        <v>5.5E-2</v>
      </c>
      <c r="BL9" s="348">
        <f t="shared" si="19"/>
        <v>6.0999999999999999E-2</v>
      </c>
      <c r="BM9" s="349">
        <f t="shared" si="19"/>
        <v>5.6000000000000001E-2</v>
      </c>
      <c r="BN9" s="348">
        <f t="shared" si="19"/>
        <v>5.6500000000000002E-2</v>
      </c>
      <c r="BO9" s="349">
        <f t="shared" si="19"/>
        <v>5.1499999999999997E-2</v>
      </c>
      <c r="BP9" s="348">
        <f t="shared" si="19"/>
        <v>6.3500000000000001E-2</v>
      </c>
      <c r="BQ9" s="349">
        <f t="shared" si="19"/>
        <v>5.8500000000000003E-2</v>
      </c>
      <c r="BR9" s="348">
        <f t="shared" si="19"/>
        <v>5.8999999999999997E-2</v>
      </c>
      <c r="BS9" s="349">
        <f t="shared" si="19"/>
        <v>5.3999999999999999E-2</v>
      </c>
      <c r="BT9" s="348">
        <f t="shared" ref="BT9:CA19" si="20">BT8+0.0015</f>
        <v>5.5E-2</v>
      </c>
      <c r="BU9" s="349">
        <f t="shared" si="20"/>
        <v>0.05</v>
      </c>
      <c r="BV9" s="348">
        <f t="shared" si="20"/>
        <v>4.9000000000000002E-2</v>
      </c>
      <c r="BW9" s="349">
        <f t="shared" si="20"/>
        <v>4.4000000000000004E-2</v>
      </c>
      <c r="BX9" s="348">
        <f t="shared" si="20"/>
        <v>5.7500000000000002E-2</v>
      </c>
      <c r="BY9" s="349">
        <f t="shared" si="20"/>
        <v>5.2499999999999998E-2</v>
      </c>
      <c r="BZ9" s="348">
        <f t="shared" si="20"/>
        <v>5.1500000000000004E-2</v>
      </c>
      <c r="CA9" s="349">
        <f t="shared" si="20"/>
        <v>4.65E-2</v>
      </c>
      <c r="CB9" s="350">
        <f>CB8</f>
        <v>5.5E-2</v>
      </c>
      <c r="CC9" s="351">
        <f>CC8</f>
        <v>0.05</v>
      </c>
      <c r="CD9" s="350">
        <f>CD8</f>
        <v>0.05</v>
      </c>
      <c r="CE9" s="351">
        <f>CE8</f>
        <v>4.4999999999999998E-2</v>
      </c>
      <c r="CF9" s="366">
        <f>CF8+0.001</f>
        <v>5.1000000000000004E-2</v>
      </c>
      <c r="CG9" s="367">
        <f>CG8+0.001</f>
        <v>4.5999999999999999E-2</v>
      </c>
    </row>
    <row r="10" spans="2:85" ht="14.4" x14ac:dyDescent="0.3">
      <c r="B10" s="316" t="s">
        <v>285</v>
      </c>
      <c r="C10" s="317">
        <f t="shared" ref="C10" si="21">IF(LEFT(INDEX($AT$3:$AT$51,MATCH($B10,$AJ$3:$AJ$51,0),1),1)="C",IF(VLOOKUP(State,Compact,3,FALSE)="Y",INT(MID(INDEX($AT$3:$AT$51,MATCH($B10,$AJ$3:$AJ$51,0),1),3,1)),IF(State="CA",INT(RIGHT(INDEX($AT$3:$AT$51,MATCH($B10,$AJ$3:$AJ$51,0),1),1)),INDEX($AU$3:$AU$51,MATCH($B10,$AJ$3:$AJ$51,0),1))),IF(AND(VLOOKUP(State,Compact,2,FALSE)="Y",INDEX($AT$3:$AT$51,MATCH($B10,$AJ$3:$AJ$51,0),1)&lt;&gt;"Standard",INDEX($AT$3:$AT$51,MATCH($B10,$AJ$3:$AJ$51,0),1)&lt;&gt;"Variable"),INT(RIGHT(INDEX($AT$3:$AT$51,MATCH($B10,$AJ$3:$AJ$51,0),1),1)),INDEX($AU$3:$AU$51,MATCH($B10,$AJ$3:$AJ$51,0),1)))</f>
        <v>2</v>
      </c>
      <c r="D10" s="318">
        <v>4</v>
      </c>
      <c r="E10" s="317">
        <f t="shared" ref="E10" si="22">IF(AND(INDEX($AW$3:$AW$51,MATCH($B10,$AJ$3:$AJ$51,0),1)&lt;&gt;"Standard",State="CA"),INT(RIGHT(INDEX($AW$3:$AW$51,MATCH($B10,$AJ$3:$AJ$51,0),1),1)),INDEX($AX$3:$AX$51,MATCH($B10,$AJ$3:$AJ$51,0),1))</f>
        <v>3</v>
      </c>
      <c r="F10" s="318">
        <v>1</v>
      </c>
      <c r="G10" s="318" t="s">
        <v>73</v>
      </c>
      <c r="H10" s="319">
        <v>8</v>
      </c>
      <c r="I10" s="319">
        <v>4</v>
      </c>
      <c r="J10" s="318">
        <v>1</v>
      </c>
      <c r="K10" s="318">
        <v>3</v>
      </c>
      <c r="L10" s="317" cm="1">
        <f t="array" ref="L10">INDEX($AO$3:$AP$51,MATCH($B10,$AJ$3:$AJ$51,0),INDEX($AJ$58:$AJ$63,MATCH(LivBen,$AI$58:$AI$63,0),1))</f>
        <v>0</v>
      </c>
      <c r="M10" s="319">
        <v>0</v>
      </c>
      <c r="N10" s="318">
        <v>1</v>
      </c>
      <c r="O10" s="318">
        <v>1</v>
      </c>
      <c r="P10" s="320">
        <v>1</v>
      </c>
      <c r="Q10" s="318">
        <v>1</v>
      </c>
      <c r="R10" s="318" t="s">
        <v>223</v>
      </c>
      <c r="S10" s="318" t="s">
        <v>282</v>
      </c>
      <c r="T10" s="318">
        <v>1</v>
      </c>
      <c r="U10" s="318">
        <v>1</v>
      </c>
      <c r="Z10" s="30"/>
      <c r="AA10" s="30"/>
      <c r="AB10" s="30"/>
      <c r="AC10" s="30"/>
      <c r="AG10" s="336" t="s">
        <v>75</v>
      </c>
      <c r="AH10" s="337" t="str">
        <f t="shared" si="0"/>
        <v>InS</v>
      </c>
      <c r="AI10" s="337" t="s">
        <v>264</v>
      </c>
      <c r="AJ10" s="336" t="s">
        <v>286</v>
      </c>
      <c r="AK10" s="337" t="str">
        <f t="shared" si="1"/>
        <v>None</v>
      </c>
      <c r="AL10" s="337" t="s">
        <v>73</v>
      </c>
      <c r="AM10" s="338" t="s">
        <v>79</v>
      </c>
      <c r="AN10" s="339"/>
      <c r="AO10" s="340"/>
      <c r="AP10" s="340"/>
      <c r="AQ10" s="338" t="s">
        <v>79</v>
      </c>
      <c r="AR10" s="341"/>
      <c r="AS10" s="341"/>
      <c r="AT10" s="337" t="s">
        <v>83</v>
      </c>
      <c r="AU10" s="337">
        <v>3</v>
      </c>
      <c r="AV10" s="342"/>
      <c r="AW10" s="337" t="s">
        <v>83</v>
      </c>
      <c r="AX10" s="337">
        <v>3</v>
      </c>
      <c r="AY10" s="342"/>
      <c r="BC10" s="343">
        <v>52</v>
      </c>
      <c r="BD10" s="344">
        <f t="shared" si="10"/>
        <v>0</v>
      </c>
      <c r="BE10" s="345">
        <f t="shared" si="11"/>
        <v>0</v>
      </c>
      <c r="BF10" s="358">
        <f t="shared" ref="BF10" si="23">IF(OR($BC$2="None",RIGHT(Category,2)&lt;&gt;"NY"),$BG10,INDEX($CF$7:$CG$39,MATCH($BC10,$BC$7:$BC$39,0),MATCH($BC$2,$CF$6:$CG$6,0)))</f>
        <v>0</v>
      </c>
      <c r="BG10" s="347">
        <v>0</v>
      </c>
      <c r="BH10" s="348">
        <f t="shared" si="19"/>
        <v>5.5E-2</v>
      </c>
      <c r="BI10" s="349">
        <f t="shared" si="19"/>
        <v>0.05</v>
      </c>
      <c r="BJ10" s="348">
        <f t="shared" si="19"/>
        <v>0.06</v>
      </c>
      <c r="BK10" s="349">
        <f t="shared" si="19"/>
        <v>5.5E-2</v>
      </c>
      <c r="BL10" s="348">
        <f t="shared" si="19"/>
        <v>6.0999999999999999E-2</v>
      </c>
      <c r="BM10" s="349">
        <f t="shared" si="19"/>
        <v>5.6000000000000001E-2</v>
      </c>
      <c r="BN10" s="348">
        <f t="shared" si="19"/>
        <v>5.6500000000000002E-2</v>
      </c>
      <c r="BO10" s="349">
        <f t="shared" si="19"/>
        <v>5.1499999999999997E-2</v>
      </c>
      <c r="BP10" s="348">
        <f t="shared" si="19"/>
        <v>6.3500000000000001E-2</v>
      </c>
      <c r="BQ10" s="349">
        <f t="shared" si="19"/>
        <v>5.8500000000000003E-2</v>
      </c>
      <c r="BR10" s="348">
        <f t="shared" si="19"/>
        <v>5.8999999999999997E-2</v>
      </c>
      <c r="BS10" s="349">
        <f t="shared" si="19"/>
        <v>5.3999999999999999E-2</v>
      </c>
      <c r="BT10" s="348">
        <f t="shared" si="20"/>
        <v>5.6500000000000002E-2</v>
      </c>
      <c r="BU10" s="349">
        <f t="shared" si="20"/>
        <v>5.1500000000000004E-2</v>
      </c>
      <c r="BV10" s="348">
        <f t="shared" si="20"/>
        <v>5.0500000000000003E-2</v>
      </c>
      <c r="BW10" s="349">
        <f t="shared" si="20"/>
        <v>4.5500000000000006E-2</v>
      </c>
      <c r="BX10" s="348">
        <f t="shared" si="20"/>
        <v>5.9000000000000004E-2</v>
      </c>
      <c r="BY10" s="349">
        <f t="shared" si="20"/>
        <v>5.3999999999999999E-2</v>
      </c>
      <c r="BZ10" s="348">
        <f t="shared" si="20"/>
        <v>5.3000000000000005E-2</v>
      </c>
      <c r="CA10" s="349">
        <f t="shared" si="20"/>
        <v>4.8000000000000001E-2</v>
      </c>
      <c r="CB10" s="350">
        <f t="shared" ref="CB10:CE17" si="24">CB9</f>
        <v>5.5E-2</v>
      </c>
      <c r="CC10" s="351">
        <f t="shared" si="24"/>
        <v>0.05</v>
      </c>
      <c r="CD10" s="350">
        <f>CD9</f>
        <v>0.05</v>
      </c>
      <c r="CE10" s="351">
        <f>CE9</f>
        <v>4.4999999999999998E-2</v>
      </c>
      <c r="CF10" s="366">
        <f>CF9+0.001</f>
        <v>5.2000000000000005E-2</v>
      </c>
      <c r="CG10" s="367">
        <f>CG9+0.001</f>
        <v>4.7E-2</v>
      </c>
    </row>
    <row r="11" spans="2:85" ht="14.4" x14ac:dyDescent="0.3">
      <c r="B11" s="316" t="s">
        <v>287</v>
      </c>
      <c r="C11" s="317">
        <f t="shared" ref="C11" si="25">IF(LEFT(INDEX($AT$3:$AT$51,MATCH($B11,$AJ$3:$AJ$51,0),1),1)="C",IF(VLOOKUP(State,Compact,3,FALSE)="Y",INT(MID(INDEX($AT$3:$AT$51,MATCH($B11,$AJ$3:$AJ$51,0),1),3,1)),IF(State="CA",INT(RIGHT(INDEX($AT$3:$AT$51,MATCH($B11,$AJ$3:$AJ$51,0),1),1)),INDEX($AU$3:$AU$51,MATCH($B11,$AJ$3:$AJ$51,0),1))),IF(AND(VLOOKUP(State,Compact,2,FALSE)="Y",INDEX($AT$3:$AT$51,MATCH($B11,$AJ$3:$AJ$51,0),1)&lt;&gt;"Standard",INDEX($AT$3:$AT$51,MATCH($B11,$AJ$3:$AJ$51,0),1)&lt;&gt;"Variable"),INT(RIGHT(INDEX($AT$3:$AT$51,MATCH($B11,$AJ$3:$AJ$51,0),1),1)),INDEX($AU$3:$AU$51,MATCH($B11,$AJ$3:$AJ$51,0),1)))</f>
        <v>2</v>
      </c>
      <c r="D11" s="318">
        <v>4</v>
      </c>
      <c r="E11" s="317">
        <f t="shared" ref="E11" si="26">IF(AND(INDEX($AW$3:$AW$51,MATCH($B11,$AJ$3:$AJ$51,0),1)&lt;&gt;"Standard",State="CA"),INT(RIGHT(INDEX($AW$3:$AW$51,MATCH($B11,$AJ$3:$AJ$51,0),1),1)),INDEX($AX$3:$AX$51,MATCH($B11,$AJ$3:$AJ$51,0),1))</f>
        <v>3</v>
      </c>
      <c r="F11" s="318">
        <v>1</v>
      </c>
      <c r="G11" s="318" t="s">
        <v>241</v>
      </c>
      <c r="H11" s="319">
        <v>5</v>
      </c>
      <c r="I11" s="319">
        <v>3</v>
      </c>
      <c r="J11" s="318">
        <v>1</v>
      </c>
      <c r="K11" s="318">
        <v>3</v>
      </c>
      <c r="L11" s="317" cm="1">
        <f t="array" ref="L11">INDEX($AO$3:$AP$51,MATCH($B11,$AJ$3:$AJ$51,0),INDEX($AJ$58:$AJ$63,MATCH(LivBen,$AI$58:$AI$63,0),1))</f>
        <v>1</v>
      </c>
      <c r="M11" s="319">
        <v>0</v>
      </c>
      <c r="N11" s="318">
        <v>1</v>
      </c>
      <c r="O11" s="318">
        <v>1</v>
      </c>
      <c r="P11" s="320">
        <v>1</v>
      </c>
      <c r="Q11" s="318">
        <v>1</v>
      </c>
      <c r="R11" s="318" t="s">
        <v>223</v>
      </c>
      <c r="S11" s="318" t="s">
        <v>223</v>
      </c>
      <c r="T11" s="318">
        <v>1</v>
      </c>
      <c r="U11" s="318">
        <v>1</v>
      </c>
      <c r="Z11" s="30"/>
      <c r="AA11" s="30"/>
      <c r="AB11" s="30"/>
      <c r="AC11" s="30"/>
      <c r="AG11" s="336" t="s">
        <v>75</v>
      </c>
      <c r="AH11" s="337" t="str">
        <f t="shared" si="0"/>
        <v>InS</v>
      </c>
      <c r="AI11" s="337" t="s">
        <v>264</v>
      </c>
      <c r="AJ11" s="336" t="s">
        <v>288</v>
      </c>
      <c r="AK11" s="337" t="str">
        <f t="shared" si="1"/>
        <v>LIMLIPMF</v>
      </c>
      <c r="AL11" s="337" t="s">
        <v>241</v>
      </c>
      <c r="AM11" s="338" t="s">
        <v>250</v>
      </c>
      <c r="AN11" s="339" t="s">
        <v>251</v>
      </c>
      <c r="AO11" s="340">
        <v>3</v>
      </c>
      <c r="AP11" s="340">
        <v>4</v>
      </c>
      <c r="AQ11" s="338" t="s">
        <v>272</v>
      </c>
      <c r="AR11" s="341" t="s">
        <v>273</v>
      </c>
      <c r="AS11" s="341" t="s">
        <v>274</v>
      </c>
      <c r="AT11" s="337" t="s">
        <v>83</v>
      </c>
      <c r="AU11" s="337">
        <v>3</v>
      </c>
      <c r="AV11" s="342"/>
      <c r="AW11" s="337" t="s">
        <v>83</v>
      </c>
      <c r="AX11" s="337">
        <v>3</v>
      </c>
      <c r="AY11" s="342"/>
      <c r="BC11" s="343">
        <v>53</v>
      </c>
      <c r="BD11" s="344">
        <f t="shared" si="10"/>
        <v>0</v>
      </c>
      <c r="BE11" s="345">
        <f t="shared" si="11"/>
        <v>0</v>
      </c>
      <c r="BF11" s="358">
        <f t="shared" ref="BF11" si="27">IF(OR($BC$2="None",RIGHT(Category,2)&lt;&gt;"NY"),$BG11,INDEX($CF$7:$CG$39,MATCH($BC11,$BC$7:$BC$39,0),MATCH($BC$2,$CF$6:$CG$6,0)))</f>
        <v>0</v>
      </c>
      <c r="BG11" s="347">
        <v>0</v>
      </c>
      <c r="BH11" s="348">
        <f t="shared" si="19"/>
        <v>5.5E-2</v>
      </c>
      <c r="BI11" s="349">
        <f t="shared" si="19"/>
        <v>0.05</v>
      </c>
      <c r="BJ11" s="348">
        <f t="shared" si="19"/>
        <v>0.06</v>
      </c>
      <c r="BK11" s="349">
        <f t="shared" si="19"/>
        <v>5.5E-2</v>
      </c>
      <c r="BL11" s="348">
        <f t="shared" si="19"/>
        <v>6.0999999999999999E-2</v>
      </c>
      <c r="BM11" s="349">
        <f t="shared" si="19"/>
        <v>5.6000000000000001E-2</v>
      </c>
      <c r="BN11" s="348">
        <f t="shared" si="19"/>
        <v>5.6500000000000002E-2</v>
      </c>
      <c r="BO11" s="349">
        <f t="shared" si="19"/>
        <v>5.1499999999999997E-2</v>
      </c>
      <c r="BP11" s="348">
        <f t="shared" si="19"/>
        <v>6.3500000000000001E-2</v>
      </c>
      <c r="BQ11" s="349">
        <f t="shared" si="19"/>
        <v>5.8500000000000003E-2</v>
      </c>
      <c r="BR11" s="348">
        <f t="shared" si="19"/>
        <v>5.8999999999999997E-2</v>
      </c>
      <c r="BS11" s="349">
        <f t="shared" si="19"/>
        <v>5.3999999999999999E-2</v>
      </c>
      <c r="BT11" s="348">
        <f t="shared" si="20"/>
        <v>5.8000000000000003E-2</v>
      </c>
      <c r="BU11" s="349">
        <f t="shared" si="20"/>
        <v>5.3000000000000005E-2</v>
      </c>
      <c r="BV11" s="348">
        <f t="shared" si="20"/>
        <v>5.2000000000000005E-2</v>
      </c>
      <c r="BW11" s="349">
        <f t="shared" si="20"/>
        <v>4.7000000000000007E-2</v>
      </c>
      <c r="BX11" s="348">
        <f t="shared" si="20"/>
        <v>6.0500000000000005E-2</v>
      </c>
      <c r="BY11" s="349">
        <f t="shared" si="20"/>
        <v>5.5500000000000001E-2</v>
      </c>
      <c r="BZ11" s="348">
        <f t="shared" si="20"/>
        <v>5.4500000000000007E-2</v>
      </c>
      <c r="CA11" s="349">
        <f t="shared" si="20"/>
        <v>4.9500000000000002E-2</v>
      </c>
      <c r="CB11" s="350">
        <f t="shared" si="24"/>
        <v>5.5E-2</v>
      </c>
      <c r="CC11" s="351">
        <f t="shared" si="24"/>
        <v>0.05</v>
      </c>
      <c r="CD11" s="350">
        <f t="shared" si="24"/>
        <v>0.05</v>
      </c>
      <c r="CE11" s="351">
        <f t="shared" si="24"/>
        <v>4.4999999999999998E-2</v>
      </c>
      <c r="CF11" s="366">
        <f t="shared" ref="CF11:CG23" si="28">CF10+0.001</f>
        <v>5.3000000000000005E-2</v>
      </c>
      <c r="CG11" s="367">
        <f t="shared" si="28"/>
        <v>4.8000000000000001E-2</v>
      </c>
    </row>
    <row r="12" spans="2:85" ht="14.4" x14ac:dyDescent="0.3">
      <c r="B12" s="316" t="s">
        <v>289</v>
      </c>
      <c r="C12" s="317">
        <f t="shared" ref="C12" si="29">IF(LEFT(INDEX($AT$3:$AT$51,MATCH($B12,$AJ$3:$AJ$51,0),1),1)="C",IF(VLOOKUP(State,Compact,3,FALSE)="Y",INT(MID(INDEX($AT$3:$AT$51,MATCH($B12,$AJ$3:$AJ$51,0),1),3,1)),IF(State="CA",INT(RIGHT(INDEX($AT$3:$AT$51,MATCH($B12,$AJ$3:$AJ$51,0),1),1)),INDEX($AU$3:$AU$51,MATCH($B12,$AJ$3:$AJ$51,0),1))),IF(AND(VLOOKUP(State,Compact,2,FALSE)="Y",INDEX($AT$3:$AT$51,MATCH($B12,$AJ$3:$AJ$51,0),1)&lt;&gt;"Standard",INDEX($AT$3:$AT$51,MATCH($B12,$AJ$3:$AJ$51,0),1)&lt;&gt;"Variable"),INT(RIGHT(INDEX($AT$3:$AT$51,MATCH($B12,$AJ$3:$AJ$51,0),1),1)),INDEX($AU$3:$AU$51,MATCH($B12,$AJ$3:$AJ$51,0),1)))</f>
        <v>2</v>
      </c>
      <c r="D12" s="318">
        <v>4</v>
      </c>
      <c r="E12" s="317">
        <f t="shared" ref="E12" si="30">IF(AND(INDEX($AW$3:$AW$51,MATCH($B12,$AJ$3:$AJ$51,0),1)&lt;&gt;"Standard",State="CA"),INT(RIGHT(INDEX($AW$3:$AW$51,MATCH($B12,$AJ$3:$AJ$51,0),1),1)),INDEX($AX$3:$AX$51,MATCH($B12,$AJ$3:$AJ$51,0),1))</f>
        <v>3</v>
      </c>
      <c r="F12" s="318">
        <v>1</v>
      </c>
      <c r="G12" s="318" t="s">
        <v>241</v>
      </c>
      <c r="H12" s="319">
        <v>7</v>
      </c>
      <c r="I12" s="319">
        <v>3</v>
      </c>
      <c r="J12" s="318">
        <v>1</v>
      </c>
      <c r="K12" s="318">
        <v>3</v>
      </c>
      <c r="L12" s="317" cm="1">
        <f t="array" ref="L12">INDEX($AO$3:$AP$51,MATCH($B12,$AJ$3:$AJ$51,0),INDEX($AJ$58:$AJ$63,MATCH(LivBen,$AI$58:$AI$63,0),1))</f>
        <v>2</v>
      </c>
      <c r="M12" s="319">
        <v>0</v>
      </c>
      <c r="N12" s="318">
        <v>1</v>
      </c>
      <c r="O12" s="318">
        <v>1</v>
      </c>
      <c r="P12" s="320">
        <v>1</v>
      </c>
      <c r="Q12" s="318">
        <v>1</v>
      </c>
      <c r="R12" s="318" t="s">
        <v>223</v>
      </c>
      <c r="S12" s="318" t="s">
        <v>223</v>
      </c>
      <c r="T12" s="318">
        <v>1</v>
      </c>
      <c r="U12" s="318">
        <v>1</v>
      </c>
      <c r="Y12" s="290" t="s">
        <v>171</v>
      </c>
      <c r="Z12" s="291" t="s">
        <v>172</v>
      </c>
      <c r="AA12" s="291" t="s">
        <v>173</v>
      </c>
      <c r="AB12" s="291" t="s">
        <v>174</v>
      </c>
      <c r="AC12" s="292" t="s">
        <v>175</v>
      </c>
      <c r="AG12" s="336" t="s">
        <v>75</v>
      </c>
      <c r="AH12" s="337" t="str">
        <f t="shared" si="0"/>
        <v>InS</v>
      </c>
      <c r="AI12" s="337" t="s">
        <v>264</v>
      </c>
      <c r="AJ12" s="336" t="s">
        <v>290</v>
      </c>
      <c r="AK12" s="337" t="str">
        <f t="shared" si="1"/>
        <v>None</v>
      </c>
      <c r="AL12" s="337" t="s">
        <v>73</v>
      </c>
      <c r="AM12" s="338" t="s">
        <v>79</v>
      </c>
      <c r="AN12" s="339"/>
      <c r="AO12" s="340"/>
      <c r="AP12" s="340"/>
      <c r="AQ12" s="338"/>
      <c r="AR12" s="341"/>
      <c r="AS12" s="341"/>
      <c r="AT12" s="337" t="s">
        <v>83</v>
      </c>
      <c r="AU12" s="337">
        <v>3</v>
      </c>
      <c r="AV12" s="342"/>
      <c r="AW12" s="337" t="s">
        <v>83</v>
      </c>
      <c r="AX12" s="337">
        <v>3</v>
      </c>
      <c r="AY12" s="342"/>
      <c r="BC12" s="343">
        <v>54</v>
      </c>
      <c r="BD12" s="344">
        <f t="shared" si="10"/>
        <v>0</v>
      </c>
      <c r="BE12" s="345">
        <f t="shared" si="11"/>
        <v>0</v>
      </c>
      <c r="BF12" s="358">
        <f t="shared" ref="BF12" si="31">IF(OR($BC$2="None",RIGHT(Category,2)&lt;&gt;"NY"),$BG12,INDEX($CF$7:$CG$39,MATCH($BC12,$BC$7:$BC$39,0),MATCH($BC$2,$CF$6:$CG$6,0)))</f>
        <v>0</v>
      </c>
      <c r="BG12" s="347">
        <v>0</v>
      </c>
      <c r="BH12" s="348">
        <f t="shared" si="19"/>
        <v>5.5E-2</v>
      </c>
      <c r="BI12" s="349">
        <f t="shared" si="19"/>
        <v>0.05</v>
      </c>
      <c r="BJ12" s="348">
        <f t="shared" si="19"/>
        <v>0.06</v>
      </c>
      <c r="BK12" s="349">
        <f t="shared" si="19"/>
        <v>5.5E-2</v>
      </c>
      <c r="BL12" s="348">
        <f t="shared" si="19"/>
        <v>6.0999999999999999E-2</v>
      </c>
      <c r="BM12" s="349">
        <f t="shared" si="19"/>
        <v>5.6000000000000001E-2</v>
      </c>
      <c r="BN12" s="348">
        <f t="shared" si="19"/>
        <v>5.6500000000000002E-2</v>
      </c>
      <c r="BO12" s="349">
        <f t="shared" si="19"/>
        <v>5.1499999999999997E-2</v>
      </c>
      <c r="BP12" s="348">
        <f t="shared" si="19"/>
        <v>6.3500000000000001E-2</v>
      </c>
      <c r="BQ12" s="349">
        <f t="shared" si="19"/>
        <v>5.8500000000000003E-2</v>
      </c>
      <c r="BR12" s="348">
        <f t="shared" si="19"/>
        <v>5.8999999999999997E-2</v>
      </c>
      <c r="BS12" s="349">
        <f t="shared" si="19"/>
        <v>5.3999999999999999E-2</v>
      </c>
      <c r="BT12" s="348">
        <f t="shared" si="20"/>
        <v>5.9500000000000004E-2</v>
      </c>
      <c r="BU12" s="349">
        <f t="shared" si="20"/>
        <v>5.4500000000000007E-2</v>
      </c>
      <c r="BV12" s="348">
        <f t="shared" si="20"/>
        <v>5.3500000000000006E-2</v>
      </c>
      <c r="BW12" s="349">
        <f t="shared" si="20"/>
        <v>4.8500000000000008E-2</v>
      </c>
      <c r="BX12" s="348">
        <f t="shared" si="20"/>
        <v>6.2000000000000006E-2</v>
      </c>
      <c r="BY12" s="349">
        <f t="shared" si="20"/>
        <v>5.7000000000000002E-2</v>
      </c>
      <c r="BZ12" s="348">
        <f t="shared" si="20"/>
        <v>5.6000000000000008E-2</v>
      </c>
      <c r="CA12" s="349">
        <f t="shared" si="20"/>
        <v>5.1000000000000004E-2</v>
      </c>
      <c r="CB12" s="350">
        <f t="shared" si="24"/>
        <v>5.5E-2</v>
      </c>
      <c r="CC12" s="351">
        <f t="shared" si="24"/>
        <v>0.05</v>
      </c>
      <c r="CD12" s="350">
        <f t="shared" si="24"/>
        <v>0.05</v>
      </c>
      <c r="CE12" s="351">
        <f t="shared" si="24"/>
        <v>4.4999999999999998E-2</v>
      </c>
      <c r="CF12" s="366">
        <f t="shared" si="28"/>
        <v>5.4000000000000006E-2</v>
      </c>
      <c r="CG12" s="367">
        <f t="shared" si="28"/>
        <v>4.9000000000000002E-2</v>
      </c>
    </row>
    <row r="13" spans="2:85" ht="14.4" x14ac:dyDescent="0.3">
      <c r="B13" s="316" t="s">
        <v>291</v>
      </c>
      <c r="C13" s="317">
        <f t="shared" ref="C13" si="32">IF(LEFT(INDEX($AT$3:$AT$51,MATCH($B13,$AJ$3:$AJ$51,0),1),1)="C",IF(VLOOKUP(State,Compact,3,FALSE)="Y",INT(MID(INDEX($AT$3:$AT$51,MATCH($B13,$AJ$3:$AJ$51,0),1),3,1)),IF(State="CA",INT(RIGHT(INDEX($AT$3:$AT$51,MATCH($B13,$AJ$3:$AJ$51,0),1),1)),INDEX($AU$3:$AU$51,MATCH($B13,$AJ$3:$AJ$51,0),1))),IF(AND(VLOOKUP(State,Compact,2,FALSE)="Y",INDEX($AT$3:$AT$51,MATCH($B13,$AJ$3:$AJ$51,0),1)&lt;&gt;"Standard",INDEX($AT$3:$AT$51,MATCH($B13,$AJ$3:$AJ$51,0),1)&lt;&gt;"Variable"),INT(RIGHT(INDEX($AT$3:$AT$51,MATCH($B13,$AJ$3:$AJ$51,0),1),1)),INDEX($AU$3:$AU$51,MATCH($B13,$AJ$3:$AJ$51,0),1)))</f>
        <v>6</v>
      </c>
      <c r="D13" s="318">
        <v>3</v>
      </c>
      <c r="E13" s="317">
        <f t="shared" ref="E13" si="33">IF(AND(INDEX($AW$3:$AW$51,MATCH($B13,$AJ$3:$AJ$51,0),1)&lt;&gt;"Standard",State="CA"),INT(RIGHT(INDEX($AW$3:$AW$51,MATCH($B13,$AJ$3:$AJ$51,0),1),1)),INDEX($AX$3:$AX$51,MATCH($B13,$AJ$3:$AJ$51,0),1))</f>
        <v>5</v>
      </c>
      <c r="F13" s="318">
        <v>1</v>
      </c>
      <c r="G13" s="318" t="s">
        <v>73</v>
      </c>
      <c r="H13" s="319">
        <v>8</v>
      </c>
      <c r="I13" s="319">
        <v>4</v>
      </c>
      <c r="J13" s="318">
        <v>3</v>
      </c>
      <c r="K13" s="318">
        <v>5</v>
      </c>
      <c r="L13" s="317" cm="1">
        <f t="array" ref="L13">INDEX($AO$3:$AP$51,MATCH($B13,$AJ$3:$AJ$51,0),INDEX($AJ$58:$AJ$63,MATCH(LivBen,$AI$58:$AI$63,0),1))</f>
        <v>0</v>
      </c>
      <c r="M13" s="319">
        <v>0</v>
      </c>
      <c r="N13" s="318">
        <v>1</v>
      </c>
      <c r="O13" s="318">
        <v>2</v>
      </c>
      <c r="P13" s="320">
        <v>1</v>
      </c>
      <c r="Q13" s="318">
        <v>1</v>
      </c>
      <c r="R13" s="318" t="s">
        <v>223</v>
      </c>
      <c r="S13" s="318" t="s">
        <v>223</v>
      </c>
      <c r="T13" s="318">
        <v>1</v>
      </c>
      <c r="U13" s="318">
        <v>1</v>
      </c>
      <c r="Y13" s="303" t="s">
        <v>81</v>
      </c>
      <c r="Z13" s="304">
        <f>ISD</f>
        <v>37986</v>
      </c>
      <c r="AA13" s="305" t="s">
        <v>292</v>
      </c>
      <c r="AB13" s="305" t="s">
        <v>215</v>
      </c>
      <c r="AC13" s="306" t="s">
        <v>293</v>
      </c>
      <c r="AG13" s="336" t="s">
        <v>75</v>
      </c>
      <c r="AH13" s="337" t="str">
        <f t="shared" si="0"/>
        <v>InS</v>
      </c>
      <c r="AI13" s="337" t="s">
        <v>264</v>
      </c>
      <c r="AJ13" s="336" t="s">
        <v>294</v>
      </c>
      <c r="AK13" s="337" t="str">
        <f t="shared" si="1"/>
        <v>LIMLIPMF</v>
      </c>
      <c r="AL13" s="337" t="s">
        <v>241</v>
      </c>
      <c r="AM13" s="338" t="s">
        <v>250</v>
      </c>
      <c r="AN13" s="339" t="s">
        <v>251</v>
      </c>
      <c r="AO13" s="340">
        <v>3</v>
      </c>
      <c r="AP13" s="340">
        <v>4</v>
      </c>
      <c r="AQ13" s="338"/>
      <c r="AR13" s="341"/>
      <c r="AS13" s="341"/>
      <c r="AT13" s="337" t="s">
        <v>83</v>
      </c>
      <c r="AU13" s="337">
        <v>3</v>
      </c>
      <c r="AV13" s="342"/>
      <c r="AW13" s="337" t="s">
        <v>83</v>
      </c>
      <c r="AX13" s="337">
        <v>3</v>
      </c>
      <c r="AY13" s="342"/>
      <c r="BC13" s="343">
        <v>55</v>
      </c>
      <c r="BD13" s="344">
        <f t="shared" si="10"/>
        <v>0</v>
      </c>
      <c r="BE13" s="345">
        <f t="shared" si="11"/>
        <v>0</v>
      </c>
      <c r="BF13" s="358">
        <f t="shared" ref="BF13" si="34">IF(OR($BC$2="None",RIGHT(Category,2)&lt;&gt;"NY"),$BG13,INDEX($CF$7:$CG$39,MATCH($BC13,$BC$7:$BC$39,0),MATCH($BC$2,$CF$6:$CG$6,0)))</f>
        <v>0</v>
      </c>
      <c r="BG13" s="347">
        <v>0</v>
      </c>
      <c r="BH13" s="348">
        <f t="shared" si="19"/>
        <v>5.5E-2</v>
      </c>
      <c r="BI13" s="349">
        <f t="shared" si="19"/>
        <v>0.05</v>
      </c>
      <c r="BJ13" s="348">
        <f t="shared" si="19"/>
        <v>0.06</v>
      </c>
      <c r="BK13" s="349">
        <f t="shared" si="19"/>
        <v>5.5E-2</v>
      </c>
      <c r="BL13" s="348">
        <f t="shared" si="19"/>
        <v>6.0999999999999999E-2</v>
      </c>
      <c r="BM13" s="349">
        <f t="shared" si="19"/>
        <v>5.6000000000000001E-2</v>
      </c>
      <c r="BN13" s="348">
        <f t="shared" si="19"/>
        <v>5.6500000000000002E-2</v>
      </c>
      <c r="BO13" s="349">
        <f t="shared" si="19"/>
        <v>5.1499999999999997E-2</v>
      </c>
      <c r="BP13" s="348">
        <f t="shared" si="19"/>
        <v>6.3500000000000001E-2</v>
      </c>
      <c r="BQ13" s="349">
        <f t="shared" si="19"/>
        <v>5.8500000000000003E-2</v>
      </c>
      <c r="BR13" s="348">
        <f t="shared" si="19"/>
        <v>5.8999999999999997E-2</v>
      </c>
      <c r="BS13" s="349">
        <f t="shared" si="19"/>
        <v>5.3999999999999999E-2</v>
      </c>
      <c r="BT13" s="348">
        <f t="shared" si="20"/>
        <v>6.1000000000000006E-2</v>
      </c>
      <c r="BU13" s="349">
        <f t="shared" si="20"/>
        <v>5.6000000000000008E-2</v>
      </c>
      <c r="BV13" s="348">
        <f t="shared" si="20"/>
        <v>5.5000000000000007E-2</v>
      </c>
      <c r="BW13" s="349">
        <f t="shared" si="20"/>
        <v>5.000000000000001E-2</v>
      </c>
      <c r="BX13" s="348">
        <f t="shared" si="20"/>
        <v>6.3500000000000001E-2</v>
      </c>
      <c r="BY13" s="349">
        <f t="shared" si="20"/>
        <v>5.8500000000000003E-2</v>
      </c>
      <c r="BZ13" s="348">
        <f t="shared" si="20"/>
        <v>5.7500000000000009E-2</v>
      </c>
      <c r="CA13" s="349">
        <f t="shared" si="20"/>
        <v>5.2500000000000005E-2</v>
      </c>
      <c r="CB13" s="350">
        <f t="shared" si="24"/>
        <v>5.5E-2</v>
      </c>
      <c r="CC13" s="351">
        <f t="shared" si="24"/>
        <v>0.05</v>
      </c>
      <c r="CD13" s="350">
        <f t="shared" si="24"/>
        <v>0.05</v>
      </c>
      <c r="CE13" s="351">
        <f t="shared" si="24"/>
        <v>4.4999999999999998E-2</v>
      </c>
      <c r="CF13" s="366">
        <f t="shared" si="28"/>
        <v>5.5000000000000007E-2</v>
      </c>
      <c r="CG13" s="367">
        <f t="shared" si="28"/>
        <v>0.05</v>
      </c>
    </row>
    <row r="14" spans="2:85" ht="14.4" x14ac:dyDescent="0.3">
      <c r="B14" s="316" t="s">
        <v>295</v>
      </c>
      <c r="C14" s="317">
        <f t="shared" ref="C14" si="35">IF(LEFT(INDEX($AT$3:$AT$51,MATCH($B14,$AJ$3:$AJ$51,0),1),1)="C",IF(VLOOKUP(State,Compact,3,FALSE)="Y",INT(MID(INDEX($AT$3:$AT$51,MATCH($B14,$AJ$3:$AJ$51,0),1),3,1)),IF(State="CA",INT(RIGHT(INDEX($AT$3:$AT$51,MATCH($B14,$AJ$3:$AJ$51,0),1),1)),INDEX($AU$3:$AU$51,MATCH($B14,$AJ$3:$AJ$51,0),1))),IF(AND(VLOOKUP(State,Compact,2,FALSE)="Y",INDEX($AT$3:$AT$51,MATCH($B14,$AJ$3:$AJ$51,0),1)&lt;&gt;"Standard",INDEX($AT$3:$AT$51,MATCH($B14,$AJ$3:$AJ$51,0),1)&lt;&gt;"Variable"),INT(RIGHT(INDEX($AT$3:$AT$51,MATCH($B14,$AJ$3:$AJ$51,0),1),1)),INDEX($AU$3:$AU$51,MATCH($B14,$AJ$3:$AJ$51,0),1)))</f>
        <v>6</v>
      </c>
      <c r="D14" s="318">
        <v>3</v>
      </c>
      <c r="E14" s="317">
        <f t="shared" ref="E14" si="36">IF(AND(INDEX($AW$3:$AW$51,MATCH($B14,$AJ$3:$AJ$51,0),1)&lt;&gt;"Standard",State="CA"),INT(RIGHT(INDEX($AW$3:$AW$51,MATCH($B14,$AJ$3:$AJ$51,0),1),1)),INDEX($AX$3:$AX$51,MATCH($B14,$AJ$3:$AJ$51,0),1))</f>
        <v>5</v>
      </c>
      <c r="F14" s="318">
        <v>1</v>
      </c>
      <c r="G14" s="318" t="s">
        <v>241</v>
      </c>
      <c r="H14" s="319">
        <v>7</v>
      </c>
      <c r="I14" s="319">
        <v>2</v>
      </c>
      <c r="J14" s="318">
        <v>3</v>
      </c>
      <c r="K14" s="318">
        <v>5</v>
      </c>
      <c r="L14" s="317" cm="1">
        <f t="array" ref="L14">INDEX($AO$3:$AP$51,MATCH($B14,$AJ$3:$AJ$51,0),INDEX($AJ$58:$AJ$63,MATCH(LivBen,$AI$58:$AI$63,0),1))</f>
        <v>3</v>
      </c>
      <c r="M14" s="319">
        <v>0</v>
      </c>
      <c r="N14" s="318">
        <v>1</v>
      </c>
      <c r="O14" s="318">
        <v>2</v>
      </c>
      <c r="P14" s="320">
        <v>1</v>
      </c>
      <c r="Q14" s="318">
        <v>1</v>
      </c>
      <c r="R14" s="318" t="s">
        <v>223</v>
      </c>
      <c r="S14" s="318" t="s">
        <v>223</v>
      </c>
      <c r="T14" s="318">
        <v>1</v>
      </c>
      <c r="U14" s="318">
        <v>1</v>
      </c>
      <c r="Y14" s="321" t="s">
        <v>224</v>
      </c>
      <c r="Z14" s="322">
        <f>ISD</f>
        <v>37986</v>
      </c>
      <c r="AA14" s="323" t="s">
        <v>296</v>
      </c>
      <c r="AB14" s="323" t="s">
        <v>226</v>
      </c>
      <c r="AC14" s="324" t="s">
        <v>297</v>
      </c>
      <c r="AG14" s="336" t="s">
        <v>75</v>
      </c>
      <c r="AH14" s="337" t="str">
        <f t="shared" si="0"/>
        <v>InS</v>
      </c>
      <c r="AI14" s="337" t="s">
        <v>264</v>
      </c>
      <c r="AJ14" s="336" t="s">
        <v>298</v>
      </c>
      <c r="AK14" s="337" t="str">
        <f t="shared" si="1"/>
        <v>None</v>
      </c>
      <c r="AL14" s="337" t="s">
        <v>73</v>
      </c>
      <c r="AM14" s="338" t="s">
        <v>79</v>
      </c>
      <c r="AN14" s="339"/>
      <c r="AO14" s="340"/>
      <c r="AP14" s="340"/>
      <c r="AQ14" s="338" t="s">
        <v>79</v>
      </c>
      <c r="AR14" s="341"/>
      <c r="AS14" s="341"/>
      <c r="AT14" s="337" t="s">
        <v>83</v>
      </c>
      <c r="AU14" s="337">
        <v>2</v>
      </c>
      <c r="AV14" s="342"/>
      <c r="AW14" s="337" t="s">
        <v>83</v>
      </c>
      <c r="AX14" s="337">
        <v>3</v>
      </c>
      <c r="AY14" s="342"/>
      <c r="BC14" s="343">
        <v>56</v>
      </c>
      <c r="BD14" s="344">
        <f t="shared" si="10"/>
        <v>0</v>
      </c>
      <c r="BE14" s="345">
        <f t="shared" si="11"/>
        <v>0</v>
      </c>
      <c r="BF14" s="358">
        <f t="shared" ref="BF14" si="37">IF(OR($BC$2="None",RIGHT(Category,2)&lt;&gt;"NY"),$BG14,INDEX($CF$7:$CG$39,MATCH($BC14,$BC$7:$BC$39,0),MATCH($BC$2,$CF$6:$CG$6,0)))</f>
        <v>0</v>
      </c>
      <c r="BG14" s="347">
        <v>0</v>
      </c>
      <c r="BH14" s="348">
        <f t="shared" si="19"/>
        <v>5.5E-2</v>
      </c>
      <c r="BI14" s="349">
        <f t="shared" si="19"/>
        <v>0.05</v>
      </c>
      <c r="BJ14" s="348">
        <f t="shared" si="19"/>
        <v>0.06</v>
      </c>
      <c r="BK14" s="349">
        <f t="shared" si="19"/>
        <v>5.5E-2</v>
      </c>
      <c r="BL14" s="348">
        <f t="shared" si="19"/>
        <v>6.0999999999999999E-2</v>
      </c>
      <c r="BM14" s="349">
        <f t="shared" si="19"/>
        <v>5.6000000000000001E-2</v>
      </c>
      <c r="BN14" s="348">
        <f t="shared" si="19"/>
        <v>5.6500000000000002E-2</v>
      </c>
      <c r="BO14" s="349">
        <f t="shared" si="19"/>
        <v>5.1499999999999997E-2</v>
      </c>
      <c r="BP14" s="348">
        <f t="shared" si="19"/>
        <v>6.3500000000000001E-2</v>
      </c>
      <c r="BQ14" s="349">
        <f t="shared" si="19"/>
        <v>5.8500000000000003E-2</v>
      </c>
      <c r="BR14" s="348">
        <f t="shared" si="19"/>
        <v>5.8999999999999997E-2</v>
      </c>
      <c r="BS14" s="349">
        <f t="shared" si="19"/>
        <v>5.3999999999999999E-2</v>
      </c>
      <c r="BT14" s="348">
        <f t="shared" si="20"/>
        <v>6.25E-2</v>
      </c>
      <c r="BU14" s="349">
        <f t="shared" si="20"/>
        <v>5.7500000000000009E-2</v>
      </c>
      <c r="BV14" s="348">
        <f t="shared" si="20"/>
        <v>5.6500000000000009E-2</v>
      </c>
      <c r="BW14" s="349">
        <f t="shared" si="20"/>
        <v>5.1500000000000011E-2</v>
      </c>
      <c r="BX14" s="348">
        <f t="shared" si="20"/>
        <v>6.5000000000000002E-2</v>
      </c>
      <c r="BY14" s="349">
        <f t="shared" si="20"/>
        <v>6.0000000000000005E-2</v>
      </c>
      <c r="BZ14" s="348">
        <f t="shared" si="20"/>
        <v>5.9000000000000011E-2</v>
      </c>
      <c r="CA14" s="349">
        <f t="shared" si="20"/>
        <v>5.4000000000000006E-2</v>
      </c>
      <c r="CB14" s="350">
        <f t="shared" si="24"/>
        <v>5.5E-2</v>
      </c>
      <c r="CC14" s="351">
        <f t="shared" si="24"/>
        <v>0.05</v>
      </c>
      <c r="CD14" s="350">
        <f t="shared" si="24"/>
        <v>0.05</v>
      </c>
      <c r="CE14" s="351">
        <f t="shared" si="24"/>
        <v>4.4999999999999998E-2</v>
      </c>
      <c r="CF14" s="366">
        <f t="shared" si="28"/>
        <v>5.6000000000000008E-2</v>
      </c>
      <c r="CG14" s="367">
        <f t="shared" si="28"/>
        <v>5.1000000000000004E-2</v>
      </c>
    </row>
    <row r="15" spans="2:85" ht="14.4" x14ac:dyDescent="0.3">
      <c r="B15" s="316" t="s">
        <v>299</v>
      </c>
      <c r="C15" s="317">
        <f t="shared" ref="C15" si="38">IF(LEFT(INDEX($AT$3:$AT$51,MATCH($B15,$AJ$3:$AJ$51,0),1),1)="C",IF(VLOOKUP(State,Compact,3,FALSE)="Y",INT(MID(INDEX($AT$3:$AT$51,MATCH($B15,$AJ$3:$AJ$51,0),1),3,1)),IF(State="CA",INT(RIGHT(INDEX($AT$3:$AT$51,MATCH($B15,$AJ$3:$AJ$51,0),1),1)),INDEX($AU$3:$AU$51,MATCH($B15,$AJ$3:$AJ$51,0),1))),IF(AND(VLOOKUP(State,Compact,2,FALSE)="Y",INDEX($AT$3:$AT$51,MATCH($B15,$AJ$3:$AJ$51,0),1)&lt;&gt;"Standard",INDEX($AT$3:$AT$51,MATCH($B15,$AJ$3:$AJ$51,0),1)&lt;&gt;"Variable"),INT(RIGHT(INDEX($AT$3:$AT$51,MATCH($B15,$AJ$3:$AJ$51,0),1),1)),INDEX($AU$3:$AU$51,MATCH($B15,$AJ$3:$AJ$51,0),1)))</f>
        <v>2</v>
      </c>
      <c r="D15" s="318">
        <v>4</v>
      </c>
      <c r="E15" s="317">
        <f t="shared" ref="E15" si="39">IF(AND(INDEX($AW$3:$AW$51,MATCH($B15,$AJ$3:$AJ$51,0),1)&lt;&gt;"Standard",State="CA"),INT(RIGHT(INDEX($AW$3:$AW$51,MATCH($B15,$AJ$3:$AJ$51,0),1),1)),INDEX($AX$3:$AX$51,MATCH($B15,$AJ$3:$AJ$51,0),1))</f>
        <v>3</v>
      </c>
      <c r="F15" s="318">
        <v>1</v>
      </c>
      <c r="G15" s="318" t="s">
        <v>73</v>
      </c>
      <c r="H15" s="319">
        <v>8</v>
      </c>
      <c r="I15" s="319">
        <v>4</v>
      </c>
      <c r="J15" s="318">
        <v>3</v>
      </c>
      <c r="K15" s="318">
        <v>5</v>
      </c>
      <c r="L15" s="317" cm="1">
        <f t="array" ref="L15">INDEX($AO$3:$AP$51,MATCH($B15,$AJ$3:$AJ$51,0),INDEX($AJ$58:$AJ$63,MATCH(LivBen,$AI$58:$AI$63,0),1))</f>
        <v>0</v>
      </c>
      <c r="M15" s="319">
        <v>0</v>
      </c>
      <c r="N15" s="318">
        <v>1</v>
      </c>
      <c r="O15" s="318">
        <v>2</v>
      </c>
      <c r="P15" s="320">
        <v>1</v>
      </c>
      <c r="Q15" s="318">
        <v>1</v>
      </c>
      <c r="R15" s="318" t="s">
        <v>223</v>
      </c>
      <c r="S15" s="318" t="s">
        <v>223</v>
      </c>
      <c r="T15" s="318">
        <v>1</v>
      </c>
      <c r="U15" s="318">
        <v>1</v>
      </c>
      <c r="Y15" s="321" t="s">
        <v>242</v>
      </c>
      <c r="Z15" s="322">
        <f>ISD</f>
        <v>37986</v>
      </c>
      <c r="AA15" s="323" t="s">
        <v>300</v>
      </c>
      <c r="AB15" s="323" t="s">
        <v>244</v>
      </c>
      <c r="AC15" s="324" t="s">
        <v>301</v>
      </c>
      <c r="AG15" s="336" t="s">
        <v>75</v>
      </c>
      <c r="AH15" s="337" t="str">
        <f t="shared" si="0"/>
        <v>InS</v>
      </c>
      <c r="AI15" s="337" t="s">
        <v>264</v>
      </c>
      <c r="AJ15" s="336" t="s">
        <v>302</v>
      </c>
      <c r="AK15" s="337" t="str">
        <f t="shared" si="1"/>
        <v>LIMLIPMF</v>
      </c>
      <c r="AL15" s="337" t="s">
        <v>241</v>
      </c>
      <c r="AM15" s="338" t="s">
        <v>250</v>
      </c>
      <c r="AN15" s="339" t="s">
        <v>251</v>
      </c>
      <c r="AO15" s="340">
        <v>3</v>
      </c>
      <c r="AP15" s="340">
        <v>4</v>
      </c>
      <c r="AQ15" s="338" t="s">
        <v>272</v>
      </c>
      <c r="AR15" s="341" t="s">
        <v>273</v>
      </c>
      <c r="AS15" s="341" t="s">
        <v>274</v>
      </c>
      <c r="AT15" s="337" t="s">
        <v>83</v>
      </c>
      <c r="AU15" s="337">
        <v>2</v>
      </c>
      <c r="AV15" s="342"/>
      <c r="AW15" s="337" t="s">
        <v>83</v>
      </c>
      <c r="AX15" s="337">
        <v>3</v>
      </c>
      <c r="AY15" s="342"/>
      <c r="BC15" s="343">
        <v>57</v>
      </c>
      <c r="BD15" s="344">
        <f t="shared" si="10"/>
        <v>0</v>
      </c>
      <c r="BE15" s="345">
        <f t="shared" si="11"/>
        <v>0</v>
      </c>
      <c r="BF15" s="358">
        <f t="shared" ref="BF15" si="40">IF(OR($BC$2="None",RIGHT(Category,2)&lt;&gt;"NY"),$BG15,INDEX($CF$7:$CG$39,MATCH($BC15,$BC$7:$BC$39,0),MATCH($BC$2,$CF$6:$CG$6,0)))</f>
        <v>0</v>
      </c>
      <c r="BG15" s="347">
        <v>0</v>
      </c>
      <c r="BH15" s="348">
        <f t="shared" si="19"/>
        <v>5.5E-2</v>
      </c>
      <c r="BI15" s="349">
        <f t="shared" si="19"/>
        <v>0.05</v>
      </c>
      <c r="BJ15" s="348">
        <f t="shared" si="19"/>
        <v>0.06</v>
      </c>
      <c r="BK15" s="349">
        <f t="shared" si="19"/>
        <v>5.5E-2</v>
      </c>
      <c r="BL15" s="348">
        <f t="shared" si="19"/>
        <v>6.0999999999999999E-2</v>
      </c>
      <c r="BM15" s="349">
        <f t="shared" si="19"/>
        <v>5.6000000000000001E-2</v>
      </c>
      <c r="BN15" s="348">
        <f t="shared" si="19"/>
        <v>5.6500000000000002E-2</v>
      </c>
      <c r="BO15" s="349">
        <f t="shared" si="19"/>
        <v>5.1499999999999997E-2</v>
      </c>
      <c r="BP15" s="348">
        <f t="shared" si="19"/>
        <v>6.3500000000000001E-2</v>
      </c>
      <c r="BQ15" s="349">
        <f t="shared" si="19"/>
        <v>5.8500000000000003E-2</v>
      </c>
      <c r="BR15" s="348">
        <f t="shared" si="19"/>
        <v>5.8999999999999997E-2</v>
      </c>
      <c r="BS15" s="349">
        <f t="shared" si="19"/>
        <v>5.3999999999999999E-2</v>
      </c>
      <c r="BT15" s="348">
        <f t="shared" si="20"/>
        <v>6.4000000000000001E-2</v>
      </c>
      <c r="BU15" s="349">
        <f t="shared" si="20"/>
        <v>5.9000000000000011E-2</v>
      </c>
      <c r="BV15" s="348">
        <f t="shared" si="20"/>
        <v>5.800000000000001E-2</v>
      </c>
      <c r="BW15" s="349">
        <f t="shared" si="20"/>
        <v>5.3000000000000012E-2</v>
      </c>
      <c r="BX15" s="348">
        <f t="shared" si="20"/>
        <v>6.6500000000000004E-2</v>
      </c>
      <c r="BY15" s="349">
        <f t="shared" si="20"/>
        <v>6.1500000000000006E-2</v>
      </c>
      <c r="BZ15" s="348">
        <f t="shared" si="20"/>
        <v>6.0500000000000012E-2</v>
      </c>
      <c r="CA15" s="349">
        <f t="shared" si="20"/>
        <v>5.5500000000000008E-2</v>
      </c>
      <c r="CB15" s="350">
        <f t="shared" si="24"/>
        <v>5.5E-2</v>
      </c>
      <c r="CC15" s="351">
        <f t="shared" si="24"/>
        <v>0.05</v>
      </c>
      <c r="CD15" s="350">
        <f t="shared" si="24"/>
        <v>0.05</v>
      </c>
      <c r="CE15" s="351">
        <f t="shared" si="24"/>
        <v>4.4999999999999998E-2</v>
      </c>
      <c r="CF15" s="366">
        <f t="shared" si="28"/>
        <v>5.7000000000000009E-2</v>
      </c>
      <c r="CG15" s="367">
        <f t="shared" si="28"/>
        <v>5.2000000000000005E-2</v>
      </c>
    </row>
    <row r="16" spans="2:85" ht="14.4" x14ac:dyDescent="0.3">
      <c r="B16" s="316" t="s">
        <v>303</v>
      </c>
      <c r="C16" s="317">
        <f t="shared" ref="C16" si="41">IF(LEFT(INDEX($AT$3:$AT$51,MATCH($B16,$AJ$3:$AJ$51,0),1),1)="C",IF(VLOOKUP(State,Compact,3,FALSE)="Y",INT(MID(INDEX($AT$3:$AT$51,MATCH($B16,$AJ$3:$AJ$51,0),1),3,1)),IF(State="CA",INT(RIGHT(INDEX($AT$3:$AT$51,MATCH($B16,$AJ$3:$AJ$51,0),1),1)),INDEX($AU$3:$AU$51,MATCH($B16,$AJ$3:$AJ$51,0),1))),IF(AND(VLOOKUP(State,Compact,2,FALSE)="Y",INDEX($AT$3:$AT$51,MATCH($B16,$AJ$3:$AJ$51,0),1)&lt;&gt;"Standard",INDEX($AT$3:$AT$51,MATCH($B16,$AJ$3:$AJ$51,0),1)&lt;&gt;"Variable"),INT(RIGHT(INDEX($AT$3:$AT$51,MATCH($B16,$AJ$3:$AJ$51,0),1),1)),INDEX($AU$3:$AU$51,MATCH($B16,$AJ$3:$AJ$51,0),1)))</f>
        <v>2</v>
      </c>
      <c r="D16" s="318">
        <v>4</v>
      </c>
      <c r="E16" s="317">
        <f t="shared" ref="E16" si="42">IF(AND(INDEX($AW$3:$AW$51,MATCH($B16,$AJ$3:$AJ$51,0),1)&lt;&gt;"Standard",State="CA"),INT(RIGHT(INDEX($AW$3:$AW$51,MATCH($B16,$AJ$3:$AJ$51,0),1),1)),INDEX($AX$3:$AX$51,MATCH($B16,$AJ$3:$AJ$51,0),1))</f>
        <v>3</v>
      </c>
      <c r="F16" s="318">
        <v>1</v>
      </c>
      <c r="G16" s="318" t="s">
        <v>241</v>
      </c>
      <c r="H16" s="319">
        <v>7</v>
      </c>
      <c r="I16" s="319">
        <v>2</v>
      </c>
      <c r="J16" s="318">
        <v>3</v>
      </c>
      <c r="K16" s="318">
        <v>5</v>
      </c>
      <c r="L16" s="317" cm="1">
        <f t="array" ref="L16">INDEX($AO$3:$AP$51,MATCH($B16,$AJ$3:$AJ$51,0),INDEX($AJ$58:$AJ$63,MATCH(LivBen,$AI$58:$AI$63,0),1))</f>
        <v>3</v>
      </c>
      <c r="M16" s="319">
        <v>0</v>
      </c>
      <c r="N16" s="318">
        <v>1</v>
      </c>
      <c r="O16" s="318">
        <v>2</v>
      </c>
      <c r="P16" s="320">
        <v>1</v>
      </c>
      <c r="Q16" s="318">
        <v>1</v>
      </c>
      <c r="R16" s="318" t="s">
        <v>223</v>
      </c>
      <c r="S16" s="318" t="s">
        <v>223</v>
      </c>
      <c r="T16" s="318">
        <v>1</v>
      </c>
      <c r="U16" s="318">
        <v>1</v>
      </c>
      <c r="Y16" s="321" t="s">
        <v>260</v>
      </c>
      <c r="Z16" s="322">
        <f>EOMONTH(PFED,-120)</f>
        <v>42369</v>
      </c>
      <c r="AA16" s="323" t="s">
        <v>304</v>
      </c>
      <c r="AB16" s="323" t="s">
        <v>262</v>
      </c>
      <c r="AC16" s="324" t="s">
        <v>305</v>
      </c>
      <c r="AG16" s="336" t="s">
        <v>75</v>
      </c>
      <c r="AH16" s="337" t="str">
        <f t="shared" si="0"/>
        <v>InS</v>
      </c>
      <c r="AI16" s="337" t="s">
        <v>264</v>
      </c>
      <c r="AJ16" s="336" t="s">
        <v>306</v>
      </c>
      <c r="AK16" s="337" t="str">
        <f t="shared" si="1"/>
        <v>None</v>
      </c>
      <c r="AL16" s="337" t="s">
        <v>73</v>
      </c>
      <c r="AM16" s="338" t="s">
        <v>79</v>
      </c>
      <c r="AN16" s="339"/>
      <c r="AO16" s="340"/>
      <c r="AP16" s="340"/>
      <c r="AQ16" s="338" t="s">
        <v>79</v>
      </c>
      <c r="AR16" s="341"/>
      <c r="AS16" s="341"/>
      <c r="AT16" s="337" t="s">
        <v>83</v>
      </c>
      <c r="AU16" s="337">
        <v>2</v>
      </c>
      <c r="AV16" s="342"/>
      <c r="AW16" s="337" t="s">
        <v>83</v>
      </c>
      <c r="AX16" s="337">
        <v>3</v>
      </c>
      <c r="AY16" s="342"/>
      <c r="BC16" s="343">
        <v>58</v>
      </c>
      <c r="BD16" s="344">
        <f t="shared" si="10"/>
        <v>0</v>
      </c>
      <c r="BE16" s="345">
        <f t="shared" si="11"/>
        <v>0</v>
      </c>
      <c r="BF16" s="358">
        <f t="shared" ref="BF16" si="43">IF(OR($BC$2="None",RIGHT(Category,2)&lt;&gt;"NY"),$BG16,INDEX($CF$7:$CG$39,MATCH($BC16,$BC$7:$BC$39,0),MATCH($BC$2,$CF$6:$CG$6,0)))</f>
        <v>0</v>
      </c>
      <c r="BG16" s="347">
        <v>0</v>
      </c>
      <c r="BH16" s="348">
        <f t="shared" si="19"/>
        <v>5.5E-2</v>
      </c>
      <c r="BI16" s="349">
        <f t="shared" si="19"/>
        <v>0.05</v>
      </c>
      <c r="BJ16" s="348">
        <f t="shared" si="19"/>
        <v>0.06</v>
      </c>
      <c r="BK16" s="349">
        <f t="shared" si="19"/>
        <v>5.5E-2</v>
      </c>
      <c r="BL16" s="348">
        <f t="shared" si="19"/>
        <v>6.0999999999999999E-2</v>
      </c>
      <c r="BM16" s="349">
        <f t="shared" si="19"/>
        <v>5.6000000000000001E-2</v>
      </c>
      <c r="BN16" s="348">
        <f t="shared" si="19"/>
        <v>5.6500000000000002E-2</v>
      </c>
      <c r="BO16" s="349">
        <f t="shared" si="19"/>
        <v>5.1499999999999997E-2</v>
      </c>
      <c r="BP16" s="348">
        <f t="shared" si="19"/>
        <v>6.3500000000000001E-2</v>
      </c>
      <c r="BQ16" s="349">
        <f t="shared" si="19"/>
        <v>5.8500000000000003E-2</v>
      </c>
      <c r="BR16" s="348">
        <f t="shared" si="19"/>
        <v>5.8999999999999997E-2</v>
      </c>
      <c r="BS16" s="349">
        <f t="shared" si="19"/>
        <v>5.3999999999999999E-2</v>
      </c>
      <c r="BT16" s="348">
        <f t="shared" si="20"/>
        <v>6.5500000000000003E-2</v>
      </c>
      <c r="BU16" s="349">
        <f t="shared" si="20"/>
        <v>6.0500000000000012E-2</v>
      </c>
      <c r="BV16" s="348">
        <f t="shared" si="20"/>
        <v>5.9500000000000011E-2</v>
      </c>
      <c r="BW16" s="349">
        <f t="shared" si="20"/>
        <v>5.4500000000000014E-2</v>
      </c>
      <c r="BX16" s="348">
        <f t="shared" si="20"/>
        <v>6.8000000000000005E-2</v>
      </c>
      <c r="BY16" s="349">
        <f t="shared" si="20"/>
        <v>6.3E-2</v>
      </c>
      <c r="BZ16" s="348">
        <f t="shared" si="20"/>
        <v>6.2000000000000013E-2</v>
      </c>
      <c r="CA16" s="349">
        <f t="shared" si="20"/>
        <v>5.7000000000000009E-2</v>
      </c>
      <c r="CB16" s="350">
        <f t="shared" si="24"/>
        <v>5.5E-2</v>
      </c>
      <c r="CC16" s="351">
        <f t="shared" si="24"/>
        <v>0.05</v>
      </c>
      <c r="CD16" s="350">
        <f t="shared" si="24"/>
        <v>0.05</v>
      </c>
      <c r="CE16" s="351">
        <f t="shared" si="24"/>
        <v>4.4999999999999998E-2</v>
      </c>
      <c r="CF16" s="366">
        <f t="shared" si="28"/>
        <v>5.800000000000001E-2</v>
      </c>
      <c r="CG16" s="367">
        <f t="shared" si="28"/>
        <v>5.3000000000000005E-2</v>
      </c>
    </row>
    <row r="17" spans="2:85" ht="14.4" x14ac:dyDescent="0.3">
      <c r="B17" s="316" t="s">
        <v>307</v>
      </c>
      <c r="C17" s="317">
        <f t="shared" ref="C17" si="44">IF(LEFT(INDEX($AT$3:$AT$51,MATCH($B17,$AJ$3:$AJ$51,0),1),1)="C",IF(VLOOKUP(State,Compact,3,FALSE)="Y",INT(MID(INDEX($AT$3:$AT$51,MATCH($B17,$AJ$3:$AJ$51,0),1),3,1)),IF(State="CA",INT(RIGHT(INDEX($AT$3:$AT$51,MATCH($B17,$AJ$3:$AJ$51,0),1),1)),INDEX($AU$3:$AU$51,MATCH($B17,$AJ$3:$AJ$51,0),1))),IF(AND(VLOOKUP(State,Compact,2,FALSE)="Y",INDEX($AT$3:$AT$51,MATCH($B17,$AJ$3:$AJ$51,0),1)&lt;&gt;"Standard",INDEX($AT$3:$AT$51,MATCH($B17,$AJ$3:$AJ$51,0),1)&lt;&gt;"Variable"),INT(RIGHT(INDEX($AT$3:$AT$51,MATCH($B17,$AJ$3:$AJ$51,0),1),1)),INDEX($AU$3:$AU$51,MATCH($B17,$AJ$3:$AJ$51,0),1)))</f>
        <v>3</v>
      </c>
      <c r="D17" s="318">
        <v>4</v>
      </c>
      <c r="E17" s="317">
        <f t="shared" ref="E17" si="45">IF(AND(INDEX($AW$3:$AW$51,MATCH($B17,$AJ$3:$AJ$51,0),1)&lt;&gt;"Standard",State="CA"),INT(RIGHT(INDEX($AW$3:$AW$51,MATCH($B17,$AJ$3:$AJ$51,0),1),1)),INDEX($AX$3:$AX$51,MATCH($B17,$AJ$3:$AJ$51,0),1))</f>
        <v>3</v>
      </c>
      <c r="F17" s="318">
        <v>1</v>
      </c>
      <c r="G17" s="318" t="s">
        <v>73</v>
      </c>
      <c r="H17" s="319">
        <v>8</v>
      </c>
      <c r="I17" s="319">
        <v>4</v>
      </c>
      <c r="J17" s="318">
        <v>3</v>
      </c>
      <c r="K17" s="318">
        <v>5</v>
      </c>
      <c r="L17" s="317" cm="1">
        <f t="array" ref="L17">INDEX($AO$3:$AP$51,MATCH($B17,$AJ$3:$AJ$51,0),INDEX($AJ$58:$AJ$63,MATCH(LivBen,$AI$58:$AI$63,0),1))</f>
        <v>0</v>
      </c>
      <c r="M17" s="319">
        <v>0</v>
      </c>
      <c r="N17" s="318">
        <v>1</v>
      </c>
      <c r="O17" s="318">
        <v>1</v>
      </c>
      <c r="P17" s="320">
        <v>1</v>
      </c>
      <c r="Q17" s="318">
        <v>2</v>
      </c>
      <c r="R17" s="318" t="s">
        <v>223</v>
      </c>
      <c r="S17" s="318" t="s">
        <v>223</v>
      </c>
      <c r="T17" s="318">
        <v>2</v>
      </c>
      <c r="U17" s="318">
        <v>1</v>
      </c>
      <c r="Y17" s="321" t="s">
        <v>268</v>
      </c>
      <c r="Z17" s="322">
        <f>EOMONTH(PFED,-120)</f>
        <v>42369</v>
      </c>
      <c r="AA17" s="323" t="s">
        <v>308</v>
      </c>
      <c r="AB17" s="323" t="s">
        <v>270</v>
      </c>
      <c r="AC17" s="324" t="s">
        <v>309</v>
      </c>
      <c r="AG17" s="336" t="s">
        <v>75</v>
      </c>
      <c r="AH17" s="337" t="str">
        <f t="shared" si="0"/>
        <v>InS</v>
      </c>
      <c r="AI17" s="337" t="s">
        <v>264</v>
      </c>
      <c r="AJ17" s="336" t="s">
        <v>310</v>
      </c>
      <c r="AK17" s="337" t="str">
        <f t="shared" si="1"/>
        <v>LIMLIPMF</v>
      </c>
      <c r="AL17" s="337" t="s">
        <v>241</v>
      </c>
      <c r="AM17" s="338" t="s">
        <v>250</v>
      </c>
      <c r="AN17" s="339" t="s">
        <v>251</v>
      </c>
      <c r="AO17" s="340">
        <v>3</v>
      </c>
      <c r="AP17" s="340">
        <v>4</v>
      </c>
      <c r="AQ17" s="338" t="s">
        <v>272</v>
      </c>
      <c r="AR17" s="341" t="s">
        <v>273</v>
      </c>
      <c r="AS17" s="341" t="s">
        <v>274</v>
      </c>
      <c r="AT17" s="337" t="s">
        <v>83</v>
      </c>
      <c r="AU17" s="337">
        <v>2</v>
      </c>
      <c r="AV17" s="342"/>
      <c r="AW17" s="337" t="s">
        <v>83</v>
      </c>
      <c r="AX17" s="337">
        <v>3</v>
      </c>
      <c r="AY17" s="342"/>
      <c r="BC17" s="343">
        <v>59</v>
      </c>
      <c r="BD17" s="344">
        <f t="shared" si="10"/>
        <v>0</v>
      </c>
      <c r="BE17" s="345">
        <f t="shared" si="11"/>
        <v>0</v>
      </c>
      <c r="BF17" s="358">
        <f t="shared" ref="BF17" si="46">IF(OR($BC$2="None",RIGHT(Category,2)&lt;&gt;"NY"),$BG17,INDEX($CF$7:$CG$39,MATCH($BC17,$BC$7:$BC$39,0),MATCH($BC$2,$CF$6:$CG$6,0)))</f>
        <v>0</v>
      </c>
      <c r="BG17" s="347">
        <v>0</v>
      </c>
      <c r="BH17" s="348">
        <f t="shared" si="19"/>
        <v>5.5E-2</v>
      </c>
      <c r="BI17" s="349">
        <f t="shared" si="19"/>
        <v>0.05</v>
      </c>
      <c r="BJ17" s="348">
        <f t="shared" si="19"/>
        <v>0.06</v>
      </c>
      <c r="BK17" s="349">
        <f t="shared" si="19"/>
        <v>5.5E-2</v>
      </c>
      <c r="BL17" s="348">
        <f t="shared" si="19"/>
        <v>6.0999999999999999E-2</v>
      </c>
      <c r="BM17" s="349">
        <f t="shared" si="19"/>
        <v>5.6000000000000001E-2</v>
      </c>
      <c r="BN17" s="348">
        <f t="shared" si="19"/>
        <v>5.6500000000000002E-2</v>
      </c>
      <c r="BO17" s="349">
        <f t="shared" si="19"/>
        <v>5.1499999999999997E-2</v>
      </c>
      <c r="BP17" s="348">
        <f t="shared" si="19"/>
        <v>6.3500000000000001E-2</v>
      </c>
      <c r="BQ17" s="349">
        <f t="shared" si="19"/>
        <v>5.8500000000000003E-2</v>
      </c>
      <c r="BR17" s="348">
        <f t="shared" si="19"/>
        <v>5.8999999999999997E-2</v>
      </c>
      <c r="BS17" s="349">
        <f t="shared" si="19"/>
        <v>5.3999999999999999E-2</v>
      </c>
      <c r="BT17" s="348">
        <f t="shared" si="20"/>
        <v>6.7000000000000004E-2</v>
      </c>
      <c r="BU17" s="349">
        <f t="shared" si="20"/>
        <v>6.2000000000000013E-2</v>
      </c>
      <c r="BV17" s="348">
        <f t="shared" si="20"/>
        <v>6.1000000000000013E-2</v>
      </c>
      <c r="BW17" s="349">
        <f t="shared" si="20"/>
        <v>5.6000000000000015E-2</v>
      </c>
      <c r="BX17" s="348">
        <f t="shared" si="20"/>
        <v>6.9500000000000006E-2</v>
      </c>
      <c r="BY17" s="349">
        <f t="shared" si="20"/>
        <v>6.4500000000000002E-2</v>
      </c>
      <c r="BZ17" s="348">
        <f t="shared" si="20"/>
        <v>6.3500000000000015E-2</v>
      </c>
      <c r="CA17" s="349">
        <f t="shared" si="20"/>
        <v>5.850000000000001E-2</v>
      </c>
      <c r="CB17" s="350">
        <f t="shared" si="24"/>
        <v>5.5E-2</v>
      </c>
      <c r="CC17" s="351">
        <f t="shared" si="24"/>
        <v>0.05</v>
      </c>
      <c r="CD17" s="350">
        <f t="shared" si="24"/>
        <v>0.05</v>
      </c>
      <c r="CE17" s="351">
        <f t="shared" si="24"/>
        <v>4.4999999999999998E-2</v>
      </c>
      <c r="CF17" s="366">
        <f t="shared" si="28"/>
        <v>5.9000000000000011E-2</v>
      </c>
      <c r="CG17" s="367">
        <f t="shared" si="28"/>
        <v>5.4000000000000006E-2</v>
      </c>
    </row>
    <row r="18" spans="2:85" ht="14.4" x14ac:dyDescent="0.3">
      <c r="B18" s="316" t="s">
        <v>311</v>
      </c>
      <c r="C18" s="317">
        <f t="shared" ref="C18" si="47">IF(LEFT(INDEX($AT$3:$AT$51,MATCH($B18,$AJ$3:$AJ$51,0),1),1)="C",IF(VLOOKUP(State,Compact,3,FALSE)="Y",INT(MID(INDEX($AT$3:$AT$51,MATCH($B18,$AJ$3:$AJ$51,0),1),3,1)),IF(State="CA",INT(RIGHT(INDEX($AT$3:$AT$51,MATCH($B18,$AJ$3:$AJ$51,0),1),1)),INDEX($AU$3:$AU$51,MATCH($B18,$AJ$3:$AJ$51,0),1))),IF(AND(VLOOKUP(State,Compact,2,FALSE)="Y",INDEX($AT$3:$AT$51,MATCH($B18,$AJ$3:$AJ$51,0),1)&lt;&gt;"Standard",INDEX($AT$3:$AT$51,MATCH($B18,$AJ$3:$AJ$51,0),1)&lt;&gt;"Variable"),INT(RIGHT(INDEX($AT$3:$AT$51,MATCH($B18,$AJ$3:$AJ$51,0),1),1)),INDEX($AU$3:$AU$51,MATCH($B18,$AJ$3:$AJ$51,0),1)))</f>
        <v>3</v>
      </c>
      <c r="D18" s="319">
        <v>4</v>
      </c>
      <c r="E18" s="317">
        <f t="shared" ref="E18" si="48">IF(AND(INDEX($AW$3:$AW$51,MATCH($B18,$AJ$3:$AJ$51,0),1)&lt;&gt;"Standard",State="CA"),INT(RIGHT(INDEX($AW$3:$AW$51,MATCH($B18,$AJ$3:$AJ$51,0),1),1)),INDEX($AX$3:$AX$51,MATCH($B18,$AJ$3:$AJ$51,0),1))</f>
        <v>3</v>
      </c>
      <c r="F18" s="319">
        <v>1</v>
      </c>
      <c r="G18" s="319" t="s">
        <v>241</v>
      </c>
      <c r="H18" s="319">
        <v>8</v>
      </c>
      <c r="I18" s="319">
        <v>4</v>
      </c>
      <c r="J18" s="319">
        <v>3</v>
      </c>
      <c r="K18" s="319">
        <v>5</v>
      </c>
      <c r="L18" s="317" cm="1">
        <f t="array" ref="L18">INDEX($AO$3:$AP$51,MATCH($B18,$AJ$3:$AJ$51,0),INDEX($AJ$58:$AJ$63,MATCH(LivBen,$AI$58:$AI$63,0),1))</f>
        <v>1</v>
      </c>
      <c r="M18" s="319">
        <v>1</v>
      </c>
      <c r="N18" s="319">
        <v>1</v>
      </c>
      <c r="O18" s="319">
        <v>1</v>
      </c>
      <c r="P18" s="368">
        <v>1</v>
      </c>
      <c r="Q18" s="319">
        <v>2</v>
      </c>
      <c r="R18" s="319" t="s">
        <v>223</v>
      </c>
      <c r="S18" s="318" t="s">
        <v>223</v>
      </c>
      <c r="T18" s="319">
        <v>2</v>
      </c>
      <c r="U18" s="319">
        <v>3</v>
      </c>
      <c r="Y18" s="354" t="s">
        <v>276</v>
      </c>
      <c r="Z18" s="355">
        <f>EOMONTH(PFED,-120)</f>
        <v>42369</v>
      </c>
      <c r="AA18" s="356" t="s">
        <v>312</v>
      </c>
      <c r="AB18" s="356" t="s">
        <v>278</v>
      </c>
      <c r="AC18" s="357" t="s">
        <v>313</v>
      </c>
      <c r="AG18" s="336" t="s">
        <v>75</v>
      </c>
      <c r="AH18" s="337" t="str">
        <f t="shared" si="0"/>
        <v>InS</v>
      </c>
      <c r="AI18" s="337" t="s">
        <v>264</v>
      </c>
      <c r="AJ18" s="336" t="s">
        <v>77</v>
      </c>
      <c r="AK18" s="337" t="str">
        <f t="shared" si="1"/>
        <v>None</v>
      </c>
      <c r="AL18" s="337" t="s">
        <v>73</v>
      </c>
      <c r="AM18" s="338" t="s">
        <v>79</v>
      </c>
      <c r="AN18" s="339"/>
      <c r="AO18" s="340"/>
      <c r="AP18" s="340"/>
      <c r="AQ18" s="338" t="s">
        <v>79</v>
      </c>
      <c r="AR18" s="341"/>
      <c r="AS18" s="341"/>
      <c r="AT18" s="337" t="s">
        <v>83</v>
      </c>
      <c r="AU18" s="337">
        <v>2</v>
      </c>
      <c r="AV18" s="342"/>
      <c r="AW18" s="337" t="s">
        <v>83</v>
      </c>
      <c r="AX18" s="337">
        <v>3</v>
      </c>
      <c r="AY18" s="342"/>
      <c r="BC18" s="343">
        <v>60</v>
      </c>
      <c r="BD18" s="344">
        <f t="shared" si="10"/>
        <v>0</v>
      </c>
      <c r="BE18" s="345">
        <f t="shared" si="11"/>
        <v>0</v>
      </c>
      <c r="BF18" s="358">
        <f t="shared" ref="BF18" si="49">IF(OR($BC$2="None",RIGHT(Category,2)&lt;&gt;"NY"),$BG18,INDEX($CF$7:$CG$39,MATCH($BC18,$BC$7:$BC$39,0),MATCH($BC$2,$CF$6:$CG$6,0)))</f>
        <v>0</v>
      </c>
      <c r="BG18" s="347">
        <v>0</v>
      </c>
      <c r="BH18" s="359">
        <v>0.06</v>
      </c>
      <c r="BI18" s="360">
        <v>5.5E-2</v>
      </c>
      <c r="BJ18" s="359">
        <v>7.0000000000000007E-2</v>
      </c>
      <c r="BK18" s="360">
        <v>6.5000000000000002E-2</v>
      </c>
      <c r="BL18" s="359">
        <v>6.6000000000000003E-2</v>
      </c>
      <c r="BM18" s="360">
        <v>6.0999999999999999E-2</v>
      </c>
      <c r="BN18" s="359">
        <v>6.1499999999999999E-2</v>
      </c>
      <c r="BO18" s="360">
        <v>5.6500000000000002E-2</v>
      </c>
      <c r="BP18" s="359">
        <v>6.8500000000000005E-2</v>
      </c>
      <c r="BQ18" s="360">
        <v>6.3500000000000001E-2</v>
      </c>
      <c r="BR18" s="359">
        <v>6.4000000000000001E-2</v>
      </c>
      <c r="BS18" s="360">
        <v>5.8999999999999997E-2</v>
      </c>
      <c r="BT18" s="348">
        <f>BT17+0.0015</f>
        <v>6.8500000000000005E-2</v>
      </c>
      <c r="BU18" s="349">
        <f>BU17+0.0015</f>
        <v>6.3500000000000015E-2</v>
      </c>
      <c r="BV18" s="348">
        <f t="shared" si="20"/>
        <v>6.2500000000000014E-2</v>
      </c>
      <c r="BW18" s="349">
        <f t="shared" si="20"/>
        <v>5.7500000000000016E-2</v>
      </c>
      <c r="BX18" s="348">
        <f t="shared" si="20"/>
        <v>7.1000000000000008E-2</v>
      </c>
      <c r="BY18" s="349">
        <f t="shared" si="20"/>
        <v>6.6000000000000003E-2</v>
      </c>
      <c r="BZ18" s="348">
        <f t="shared" si="20"/>
        <v>6.5000000000000016E-2</v>
      </c>
      <c r="CA18" s="349">
        <f t="shared" si="20"/>
        <v>6.0000000000000012E-2</v>
      </c>
      <c r="CB18" s="361">
        <v>0.06</v>
      </c>
      <c r="CC18" s="362">
        <v>5.5E-2</v>
      </c>
      <c r="CD18" s="361">
        <v>0.05</v>
      </c>
      <c r="CE18" s="362">
        <v>4.4999999999999998E-2</v>
      </c>
      <c r="CF18" s="366">
        <f t="shared" si="28"/>
        <v>6.0000000000000012E-2</v>
      </c>
      <c r="CG18" s="367">
        <f t="shared" si="28"/>
        <v>5.5000000000000007E-2</v>
      </c>
    </row>
    <row r="19" spans="2:85" ht="14.4" x14ac:dyDescent="0.3">
      <c r="B19" s="316" t="s">
        <v>280</v>
      </c>
      <c r="C19" s="317">
        <f t="shared" ref="C19" si="50">IF(LEFT(INDEX($AT$3:$AT$51,MATCH($B19,$AJ$3:$AJ$51,0),1),1)="C",IF(VLOOKUP(State,Compact,3,FALSE)="Y",INT(MID(INDEX($AT$3:$AT$51,MATCH($B19,$AJ$3:$AJ$51,0),1),3,1)),IF(State="CA",INT(RIGHT(INDEX($AT$3:$AT$51,MATCH($B19,$AJ$3:$AJ$51,0),1),1)),INDEX($AU$3:$AU$51,MATCH($B19,$AJ$3:$AJ$51,0),1))),IF(AND(VLOOKUP(State,Compact,2,FALSE)="Y",INDEX($AT$3:$AT$51,MATCH($B19,$AJ$3:$AJ$51,0),1)&lt;&gt;"Standard",INDEX($AT$3:$AT$51,MATCH($B19,$AJ$3:$AJ$51,0),1)&lt;&gt;"Variable"),INT(RIGHT(INDEX($AT$3:$AT$51,MATCH($B19,$AJ$3:$AJ$51,0),1),1)),INDEX($AU$3:$AU$51,MATCH($B19,$AJ$3:$AJ$51,0),1)))</f>
        <v>3</v>
      </c>
      <c r="D19" s="319">
        <v>4</v>
      </c>
      <c r="E19" s="317">
        <f t="shared" ref="E19" si="51">IF(AND(INDEX($AW$3:$AW$51,MATCH($B19,$AJ$3:$AJ$51,0),1)&lt;&gt;"Standard",State="CA"),INT(RIGHT(INDEX($AW$3:$AW$51,MATCH($B19,$AJ$3:$AJ$51,0),1),1)),INDEX($AX$3:$AX$51,MATCH($B19,$AJ$3:$AJ$51,0),1))</f>
        <v>3</v>
      </c>
      <c r="F19" s="319">
        <v>1</v>
      </c>
      <c r="G19" s="319" t="s">
        <v>73</v>
      </c>
      <c r="H19" s="319">
        <v>8</v>
      </c>
      <c r="I19" s="319">
        <v>4</v>
      </c>
      <c r="J19" s="319">
        <v>3</v>
      </c>
      <c r="K19" s="319">
        <v>5</v>
      </c>
      <c r="L19" s="317" cm="1">
        <f t="array" ref="L19">INDEX($AO$3:$AP$51,MATCH($B19,$AJ$3:$AJ$51,0),INDEX($AJ$58:$AJ$63,MATCH(LivBen,$AI$58:$AI$63,0),1))</f>
        <v>0</v>
      </c>
      <c r="M19" s="319">
        <v>0</v>
      </c>
      <c r="N19" s="319">
        <v>1</v>
      </c>
      <c r="O19" s="319">
        <v>1</v>
      </c>
      <c r="P19" s="368">
        <v>1</v>
      </c>
      <c r="Q19" s="319">
        <v>1</v>
      </c>
      <c r="R19" s="319" t="s">
        <v>223</v>
      </c>
      <c r="S19" s="318" t="s">
        <v>282</v>
      </c>
      <c r="T19" s="319">
        <v>1</v>
      </c>
      <c r="U19" s="319">
        <v>1</v>
      </c>
      <c r="AG19" s="336" t="s">
        <v>75</v>
      </c>
      <c r="AH19" s="337" t="str">
        <f t="shared" si="0"/>
        <v>InS</v>
      </c>
      <c r="AI19" s="337" t="s">
        <v>264</v>
      </c>
      <c r="AJ19" s="336" t="s">
        <v>314</v>
      </c>
      <c r="AK19" s="337" t="str">
        <f t="shared" si="1"/>
        <v>LIMLIPMF</v>
      </c>
      <c r="AL19" s="337" t="s">
        <v>241</v>
      </c>
      <c r="AM19" s="338" t="s">
        <v>250</v>
      </c>
      <c r="AN19" s="339" t="s">
        <v>251</v>
      </c>
      <c r="AO19" s="340">
        <v>3</v>
      </c>
      <c r="AP19" s="340">
        <v>4</v>
      </c>
      <c r="AQ19" s="338" t="s">
        <v>272</v>
      </c>
      <c r="AR19" s="341" t="s">
        <v>273</v>
      </c>
      <c r="AS19" s="341" t="s">
        <v>274</v>
      </c>
      <c r="AT19" s="337" t="s">
        <v>83</v>
      </c>
      <c r="AU19" s="337">
        <v>2</v>
      </c>
      <c r="AV19" s="342"/>
      <c r="AW19" s="337" t="s">
        <v>83</v>
      </c>
      <c r="AX19" s="337">
        <v>3</v>
      </c>
      <c r="AY19" s="342"/>
      <c r="BC19" s="343">
        <v>61</v>
      </c>
      <c r="BD19" s="344">
        <f t="shared" si="10"/>
        <v>0</v>
      </c>
      <c r="BE19" s="345">
        <f t="shared" si="11"/>
        <v>0</v>
      </c>
      <c r="BF19" s="358">
        <f t="shared" ref="BF19" si="52">IF(OR($BC$2="None",RIGHT(Category,2)&lt;&gt;"NY"),$BG19,INDEX($CF$7:$CG$39,MATCH($BC19,$BC$7:$BC$39,0),MATCH($BC$2,$CF$6:$CG$6,0)))</f>
        <v>0</v>
      </c>
      <c r="BG19" s="347">
        <v>0</v>
      </c>
      <c r="BH19" s="348">
        <f t="shared" ref="BH19:BS22" si="53">BH18</f>
        <v>0.06</v>
      </c>
      <c r="BI19" s="349">
        <f t="shared" si="53"/>
        <v>5.5E-2</v>
      </c>
      <c r="BJ19" s="348">
        <f t="shared" si="53"/>
        <v>7.0000000000000007E-2</v>
      </c>
      <c r="BK19" s="349">
        <f t="shared" si="53"/>
        <v>6.5000000000000002E-2</v>
      </c>
      <c r="BL19" s="348">
        <f t="shared" si="53"/>
        <v>6.6000000000000003E-2</v>
      </c>
      <c r="BM19" s="349">
        <f t="shared" si="53"/>
        <v>6.0999999999999999E-2</v>
      </c>
      <c r="BN19" s="348">
        <f t="shared" si="53"/>
        <v>6.1499999999999999E-2</v>
      </c>
      <c r="BO19" s="349">
        <f t="shared" si="53"/>
        <v>5.6500000000000002E-2</v>
      </c>
      <c r="BP19" s="348">
        <f t="shared" si="53"/>
        <v>6.8500000000000005E-2</v>
      </c>
      <c r="BQ19" s="349">
        <f t="shared" si="53"/>
        <v>6.3500000000000001E-2</v>
      </c>
      <c r="BR19" s="348">
        <f t="shared" si="53"/>
        <v>6.4000000000000001E-2</v>
      </c>
      <c r="BS19" s="349">
        <f t="shared" si="53"/>
        <v>5.8999999999999997E-2</v>
      </c>
      <c r="BT19" s="348">
        <f>BT18+0.0015</f>
        <v>7.0000000000000007E-2</v>
      </c>
      <c r="BU19" s="349">
        <f>BU18+0.0015</f>
        <v>6.5000000000000016E-2</v>
      </c>
      <c r="BV19" s="348">
        <f t="shared" si="20"/>
        <v>6.4000000000000015E-2</v>
      </c>
      <c r="BW19" s="349">
        <f t="shared" si="20"/>
        <v>5.9000000000000018E-2</v>
      </c>
      <c r="BX19" s="348">
        <f t="shared" si="20"/>
        <v>7.2500000000000009E-2</v>
      </c>
      <c r="BY19" s="349">
        <f t="shared" si="20"/>
        <v>6.7500000000000004E-2</v>
      </c>
      <c r="BZ19" s="348">
        <f t="shared" si="20"/>
        <v>6.6500000000000017E-2</v>
      </c>
      <c r="CA19" s="349">
        <f t="shared" si="20"/>
        <v>6.1500000000000013E-2</v>
      </c>
      <c r="CB19" s="350">
        <f t="shared" ref="CB19:CE22" si="54">CB18</f>
        <v>0.06</v>
      </c>
      <c r="CC19" s="351">
        <f t="shared" si="54"/>
        <v>5.5E-2</v>
      </c>
      <c r="CD19" s="350">
        <f t="shared" si="54"/>
        <v>0.05</v>
      </c>
      <c r="CE19" s="351">
        <f t="shared" si="54"/>
        <v>4.4999999999999998E-2</v>
      </c>
      <c r="CF19" s="366">
        <f t="shared" si="28"/>
        <v>6.1000000000000013E-2</v>
      </c>
      <c r="CG19" s="367">
        <f t="shared" si="28"/>
        <v>5.6000000000000008E-2</v>
      </c>
    </row>
    <row r="20" spans="2:85" ht="14.4" x14ac:dyDescent="0.3">
      <c r="B20" s="316" t="s">
        <v>283</v>
      </c>
      <c r="C20" s="317" t="str">
        <f t="shared" ref="C20" si="55">IF(LEFT(INDEX($AT$3:$AT$51,MATCH($B20,$AJ$3:$AJ$51,0),1),1)="C",IF(VLOOKUP(State,Compact,3,FALSE)="Y",INT(MID(INDEX($AT$3:$AT$51,MATCH($B20,$AJ$3:$AJ$51,0),1),3,1)),IF(State="CA",INT(RIGHT(INDEX($AT$3:$AT$51,MATCH($B20,$AJ$3:$AJ$51,0),1),1)),INDEX($AU$3:$AU$51,MATCH($B20,$AJ$3:$AJ$51,0),1))),IF(AND(VLOOKUP(State,Compact,2,FALSE)="Y",INDEX($AT$3:$AT$51,MATCH($B20,$AJ$3:$AJ$51,0),1)&lt;&gt;"Standard",INDEX($AT$3:$AT$51,MATCH($B20,$AJ$3:$AJ$51,0),1)&lt;&gt;"Variable"),INT(RIGHT(INDEX($AT$3:$AT$51,MATCH($B20,$AJ$3:$AJ$51,0),1),1)),INDEX($AU$3:$AU$51,MATCH($B20,$AJ$3:$AJ$51,0),1)))</f>
        <v>-</v>
      </c>
      <c r="D20" s="319">
        <v>4</v>
      </c>
      <c r="E20" s="317">
        <f t="shared" ref="E20" si="56">IF(AND(INDEX($AW$3:$AW$51,MATCH($B20,$AJ$3:$AJ$51,0),1)&lt;&gt;"Standard",State="CA"),INT(RIGHT(INDEX($AW$3:$AW$51,MATCH($B20,$AJ$3:$AJ$51,0),1),1)),INDEX($AX$3:$AX$51,MATCH($B20,$AJ$3:$AJ$51,0),1))</f>
        <v>3</v>
      </c>
      <c r="F20" s="319">
        <v>1</v>
      </c>
      <c r="G20" s="319" t="s">
        <v>73</v>
      </c>
      <c r="H20" s="319">
        <v>8</v>
      </c>
      <c r="I20" s="319">
        <v>4</v>
      </c>
      <c r="J20" s="319">
        <v>3</v>
      </c>
      <c r="K20" s="319">
        <v>5</v>
      </c>
      <c r="L20" s="317" cm="1">
        <f t="array" ref="L20">INDEX($AO$3:$AP$51,MATCH($B20,$AJ$3:$AJ$51,0),INDEX($AJ$58:$AJ$63,MATCH(LivBen,$AI$58:$AI$63,0),1))</f>
        <v>0</v>
      </c>
      <c r="M20" s="319">
        <v>0</v>
      </c>
      <c r="N20" s="319">
        <v>1</v>
      </c>
      <c r="O20" s="319">
        <v>1</v>
      </c>
      <c r="P20" s="368">
        <v>1</v>
      </c>
      <c r="Q20" s="319">
        <v>1</v>
      </c>
      <c r="R20" s="319" t="s">
        <v>223</v>
      </c>
      <c r="S20" s="318" t="s">
        <v>282</v>
      </c>
      <c r="T20" s="319">
        <v>1</v>
      </c>
      <c r="U20" s="319">
        <v>1</v>
      </c>
      <c r="AG20" s="336" t="s">
        <v>75</v>
      </c>
      <c r="AH20" s="337" t="str">
        <f t="shared" si="0"/>
        <v>InS</v>
      </c>
      <c r="AI20" s="337" t="s">
        <v>264</v>
      </c>
      <c r="AJ20" s="336" t="s">
        <v>315</v>
      </c>
      <c r="AK20" s="337" t="str">
        <f t="shared" si="1"/>
        <v>None</v>
      </c>
      <c r="AL20" s="337" t="s">
        <v>73</v>
      </c>
      <c r="AM20" s="338" t="s">
        <v>79</v>
      </c>
      <c r="AN20" s="339"/>
      <c r="AO20" s="340"/>
      <c r="AP20" s="340"/>
      <c r="AQ20" s="338"/>
      <c r="AR20" s="341"/>
      <c r="AS20" s="341"/>
      <c r="AT20" s="337" t="s">
        <v>83</v>
      </c>
      <c r="AU20" s="337">
        <v>2</v>
      </c>
      <c r="AV20" s="342" t="s">
        <v>316</v>
      </c>
      <c r="AW20" s="337" t="s">
        <v>83</v>
      </c>
      <c r="AX20" s="337">
        <v>3</v>
      </c>
      <c r="AY20" s="342"/>
      <c r="BC20" s="343">
        <v>62</v>
      </c>
      <c r="BD20" s="344">
        <f t="shared" si="10"/>
        <v>0</v>
      </c>
      <c r="BE20" s="345">
        <f t="shared" si="11"/>
        <v>0</v>
      </c>
      <c r="BF20" s="358">
        <f t="shared" ref="BF20" si="57">IF(OR($BC$2="None",RIGHT(Category,2)&lt;&gt;"NY"),$BG20,INDEX($CF$7:$CG$39,MATCH($BC20,$BC$7:$BC$39,0),MATCH($BC$2,$CF$6:$CG$6,0)))</f>
        <v>0</v>
      </c>
      <c r="BG20" s="347">
        <v>0</v>
      </c>
      <c r="BH20" s="348">
        <f t="shared" si="53"/>
        <v>0.06</v>
      </c>
      <c r="BI20" s="349">
        <f t="shared" si="53"/>
        <v>5.5E-2</v>
      </c>
      <c r="BJ20" s="348">
        <f t="shared" si="53"/>
        <v>7.0000000000000007E-2</v>
      </c>
      <c r="BK20" s="349">
        <f t="shared" si="53"/>
        <v>6.5000000000000002E-2</v>
      </c>
      <c r="BL20" s="348">
        <f t="shared" si="53"/>
        <v>6.6000000000000003E-2</v>
      </c>
      <c r="BM20" s="349">
        <f t="shared" si="53"/>
        <v>6.0999999999999999E-2</v>
      </c>
      <c r="BN20" s="348">
        <f t="shared" si="53"/>
        <v>6.1499999999999999E-2</v>
      </c>
      <c r="BO20" s="349">
        <f t="shared" si="53"/>
        <v>5.6500000000000002E-2</v>
      </c>
      <c r="BP20" s="348">
        <f t="shared" si="53"/>
        <v>6.8500000000000005E-2</v>
      </c>
      <c r="BQ20" s="349">
        <f t="shared" si="53"/>
        <v>6.3500000000000001E-2</v>
      </c>
      <c r="BR20" s="348">
        <f t="shared" si="53"/>
        <v>6.4000000000000001E-2</v>
      </c>
      <c r="BS20" s="349">
        <f t="shared" si="53"/>
        <v>5.8999999999999997E-2</v>
      </c>
      <c r="BT20" s="348">
        <f t="shared" ref="BT20:CA23" si="58">BT19+0.0015</f>
        <v>7.1500000000000008E-2</v>
      </c>
      <c r="BU20" s="349">
        <f t="shared" si="58"/>
        <v>6.6500000000000017E-2</v>
      </c>
      <c r="BV20" s="348">
        <f t="shared" si="58"/>
        <v>6.5500000000000017E-2</v>
      </c>
      <c r="BW20" s="349">
        <f t="shared" si="58"/>
        <v>6.0500000000000019E-2</v>
      </c>
      <c r="BX20" s="348">
        <f t="shared" si="58"/>
        <v>7.400000000000001E-2</v>
      </c>
      <c r="BY20" s="349">
        <f t="shared" si="58"/>
        <v>6.9000000000000006E-2</v>
      </c>
      <c r="BZ20" s="348">
        <f t="shared" si="58"/>
        <v>6.8000000000000019E-2</v>
      </c>
      <c r="CA20" s="349">
        <f t="shared" si="58"/>
        <v>6.3000000000000014E-2</v>
      </c>
      <c r="CB20" s="350">
        <f t="shared" si="54"/>
        <v>0.06</v>
      </c>
      <c r="CC20" s="351">
        <f t="shared" si="54"/>
        <v>5.5E-2</v>
      </c>
      <c r="CD20" s="350">
        <f t="shared" si="54"/>
        <v>0.05</v>
      </c>
      <c r="CE20" s="351">
        <f t="shared" si="54"/>
        <v>4.4999999999999998E-2</v>
      </c>
      <c r="CF20" s="366">
        <f t="shared" si="28"/>
        <v>6.2000000000000013E-2</v>
      </c>
      <c r="CG20" s="367">
        <f t="shared" si="28"/>
        <v>5.7000000000000009E-2</v>
      </c>
    </row>
    <row r="21" spans="2:85" ht="14.4" x14ac:dyDescent="0.3">
      <c r="B21" s="316" t="s">
        <v>286</v>
      </c>
      <c r="C21" s="317">
        <f t="shared" ref="C21" si="59">IF(LEFT(INDEX($AT$3:$AT$51,MATCH($B21,$AJ$3:$AJ$51,0),1),1)="C",IF(VLOOKUP(State,Compact,3,FALSE)="Y",INT(MID(INDEX($AT$3:$AT$51,MATCH($B21,$AJ$3:$AJ$51,0),1),3,1)),IF(State="CA",INT(RIGHT(INDEX($AT$3:$AT$51,MATCH($B21,$AJ$3:$AJ$51,0),1),1)),INDEX($AU$3:$AU$51,MATCH($B21,$AJ$3:$AJ$51,0),1))),IF(AND(VLOOKUP(State,Compact,2,FALSE)="Y",INDEX($AT$3:$AT$51,MATCH($B21,$AJ$3:$AJ$51,0),1)&lt;&gt;"Standard",INDEX($AT$3:$AT$51,MATCH($B21,$AJ$3:$AJ$51,0),1)&lt;&gt;"Variable"),INT(RIGHT(INDEX($AT$3:$AT$51,MATCH($B21,$AJ$3:$AJ$51,0),1),1)),INDEX($AU$3:$AU$51,MATCH($B21,$AJ$3:$AJ$51,0),1)))</f>
        <v>3</v>
      </c>
      <c r="D21" s="319">
        <v>4</v>
      </c>
      <c r="E21" s="317">
        <f t="shared" ref="E21" si="60">IF(AND(INDEX($AW$3:$AW$51,MATCH($B21,$AJ$3:$AJ$51,0),1)&lt;&gt;"Standard",State="CA"),INT(RIGHT(INDEX($AW$3:$AW$51,MATCH($B21,$AJ$3:$AJ$51,0),1),1)),INDEX($AX$3:$AX$51,MATCH($B21,$AJ$3:$AJ$51,0),1))</f>
        <v>3</v>
      </c>
      <c r="F21" s="319">
        <v>1</v>
      </c>
      <c r="G21" s="319" t="s">
        <v>73</v>
      </c>
      <c r="H21" s="319">
        <v>8</v>
      </c>
      <c r="I21" s="319">
        <v>4</v>
      </c>
      <c r="J21" s="319">
        <v>3</v>
      </c>
      <c r="K21" s="319">
        <v>5</v>
      </c>
      <c r="L21" s="317" cm="1">
        <f t="array" ref="L21">INDEX($AO$3:$AP$51,MATCH($B21,$AJ$3:$AJ$51,0),INDEX($AJ$58:$AJ$63,MATCH(LivBen,$AI$58:$AI$63,0),1))</f>
        <v>0</v>
      </c>
      <c r="M21" s="319">
        <v>0</v>
      </c>
      <c r="N21" s="319">
        <v>1</v>
      </c>
      <c r="O21" s="319">
        <v>1</v>
      </c>
      <c r="P21" s="368">
        <v>1</v>
      </c>
      <c r="Q21" s="319">
        <v>1</v>
      </c>
      <c r="R21" s="319" t="s">
        <v>223</v>
      </c>
      <c r="S21" s="318" t="s">
        <v>223</v>
      </c>
      <c r="T21" s="319">
        <v>1</v>
      </c>
      <c r="U21" s="319">
        <v>1</v>
      </c>
      <c r="AG21" s="336" t="s">
        <v>75</v>
      </c>
      <c r="AH21" s="337" t="str">
        <f>TRIM(LEFT(AG21,2)&amp;IFERROR(MID(_xlfn.TEXTAFTER(SUBSTITUTE(AG21,"&amp; ","")," ",1),1,1),"")&amp;IFERROR(MID(_xlfn.TEXTAFTER(SUBSTITUTE(AG21,"&amp; ","")," ",2),1,1),"")&amp;IFERROR(MID(_xlfn.TEXTAFTER(SUBSTITUTE(AG21,"&amp; ","")," ",3),1,1),"")&amp;IFERROR(MID(_xlfn.TEXTAFTER(SUBSTITUTE(AG21,"&amp; ","")," ",4),1,1),""))</f>
        <v>InS</v>
      </c>
      <c r="AI21" s="337" t="s">
        <v>264</v>
      </c>
      <c r="AJ21" s="336" t="s">
        <v>317</v>
      </c>
      <c r="AK21" s="337" t="str">
        <f>IF(AM21="None","None",TRIM(LEFT(AM21,1)&amp;IFERROR(MID(_xlfn.TEXTAFTER(AM21," ",1),1,1),"")&amp;IFERROR(MID(_xlfn.TEXTAFTER(AM21," ",2),1,1),"")&amp;IFERROR(MID(_xlfn.TEXTAFTER(AM21," ",3),1,1),"")&amp;IFERROR(MID(_xlfn.TEXTAFTER(AM21," ",4),1,1),"")&amp;LEFT(AN21,1)&amp;IFERROR(MID(_xlfn.TEXTAFTER(AN21," ",1),1,1),"")&amp;IFERROR(MID(_xlfn.TEXTAFTER(AN21," ",2),1,1),"")&amp;IFERROR(MID(_xlfn.TEXTAFTER(AN21," ",3),1,1),"")&amp;IFERROR(MID(_xlfn.TEXTAFTER(AN21," ",4),1,1),"")))</f>
        <v>LIMLIPMF</v>
      </c>
      <c r="AL21" s="337" t="s">
        <v>241</v>
      </c>
      <c r="AM21" s="338" t="s">
        <v>250</v>
      </c>
      <c r="AN21" s="339" t="s">
        <v>251</v>
      </c>
      <c r="AO21" s="340">
        <v>3</v>
      </c>
      <c r="AP21" s="340">
        <v>4</v>
      </c>
      <c r="AQ21" s="338" t="s">
        <v>272</v>
      </c>
      <c r="AR21" s="341" t="s">
        <v>273</v>
      </c>
      <c r="AS21" s="341" t="s">
        <v>274</v>
      </c>
      <c r="AT21" s="337" t="s">
        <v>83</v>
      </c>
      <c r="AU21" s="337">
        <v>2</v>
      </c>
      <c r="AV21" s="342" t="s">
        <v>316</v>
      </c>
      <c r="AW21" s="337" t="s">
        <v>83</v>
      </c>
      <c r="AX21" s="337">
        <v>3</v>
      </c>
      <c r="AY21" s="342"/>
      <c r="BC21" s="343">
        <v>63</v>
      </c>
      <c r="BD21" s="344">
        <f t="shared" si="10"/>
        <v>0</v>
      </c>
      <c r="BE21" s="345">
        <f t="shared" si="11"/>
        <v>0</v>
      </c>
      <c r="BF21" s="358">
        <f t="shared" ref="BF21" si="61">IF(OR($BC$2="None",RIGHT(Category,2)&lt;&gt;"NY"),$BG21,INDEX($CF$7:$CG$39,MATCH($BC21,$BC$7:$BC$39,0),MATCH($BC$2,$CF$6:$CG$6,0)))</f>
        <v>0</v>
      </c>
      <c r="BG21" s="347">
        <v>0</v>
      </c>
      <c r="BH21" s="348">
        <f t="shared" si="53"/>
        <v>0.06</v>
      </c>
      <c r="BI21" s="349">
        <f t="shared" si="53"/>
        <v>5.5E-2</v>
      </c>
      <c r="BJ21" s="348">
        <f t="shared" si="53"/>
        <v>7.0000000000000007E-2</v>
      </c>
      <c r="BK21" s="349">
        <f t="shared" si="53"/>
        <v>6.5000000000000002E-2</v>
      </c>
      <c r="BL21" s="348">
        <f t="shared" si="53"/>
        <v>6.6000000000000003E-2</v>
      </c>
      <c r="BM21" s="349">
        <f t="shared" si="53"/>
        <v>6.0999999999999999E-2</v>
      </c>
      <c r="BN21" s="348">
        <f t="shared" si="53"/>
        <v>6.1499999999999999E-2</v>
      </c>
      <c r="BO21" s="349">
        <f t="shared" si="53"/>
        <v>5.6500000000000002E-2</v>
      </c>
      <c r="BP21" s="348">
        <f t="shared" si="53"/>
        <v>6.8500000000000005E-2</v>
      </c>
      <c r="BQ21" s="349">
        <f t="shared" si="53"/>
        <v>6.3500000000000001E-2</v>
      </c>
      <c r="BR21" s="348">
        <f t="shared" si="53"/>
        <v>6.4000000000000001E-2</v>
      </c>
      <c r="BS21" s="349">
        <f t="shared" si="53"/>
        <v>5.8999999999999997E-2</v>
      </c>
      <c r="BT21" s="348">
        <f t="shared" si="58"/>
        <v>7.3000000000000009E-2</v>
      </c>
      <c r="BU21" s="349">
        <f t="shared" si="58"/>
        <v>6.8000000000000019E-2</v>
      </c>
      <c r="BV21" s="348">
        <f t="shared" si="58"/>
        <v>6.7000000000000018E-2</v>
      </c>
      <c r="BW21" s="349">
        <f t="shared" si="58"/>
        <v>6.200000000000002E-2</v>
      </c>
      <c r="BX21" s="348">
        <f t="shared" si="58"/>
        <v>7.5500000000000012E-2</v>
      </c>
      <c r="BY21" s="349">
        <f t="shared" si="58"/>
        <v>7.0500000000000007E-2</v>
      </c>
      <c r="BZ21" s="348">
        <f t="shared" si="58"/>
        <v>6.950000000000002E-2</v>
      </c>
      <c r="CA21" s="349">
        <f t="shared" si="58"/>
        <v>6.4500000000000016E-2</v>
      </c>
      <c r="CB21" s="350">
        <f t="shared" si="54"/>
        <v>0.06</v>
      </c>
      <c r="CC21" s="351">
        <f t="shared" si="54"/>
        <v>5.5E-2</v>
      </c>
      <c r="CD21" s="350">
        <f t="shared" si="54"/>
        <v>0.05</v>
      </c>
      <c r="CE21" s="351">
        <f t="shared" si="54"/>
        <v>4.4999999999999998E-2</v>
      </c>
      <c r="CF21" s="366">
        <f t="shared" si="28"/>
        <v>6.3000000000000014E-2</v>
      </c>
      <c r="CG21" s="367">
        <f t="shared" si="28"/>
        <v>5.800000000000001E-2</v>
      </c>
    </row>
    <row r="22" spans="2:85" ht="14.4" x14ac:dyDescent="0.3">
      <c r="B22" s="316" t="s">
        <v>288</v>
      </c>
      <c r="C22" s="317">
        <f t="shared" ref="C22" si="62">IF(LEFT(INDEX($AT$3:$AT$51,MATCH($B22,$AJ$3:$AJ$51,0),1),1)="C",IF(VLOOKUP(State,Compact,3,FALSE)="Y",INT(MID(INDEX($AT$3:$AT$51,MATCH($B22,$AJ$3:$AJ$51,0),1),3,1)),IF(State="CA",INT(RIGHT(INDEX($AT$3:$AT$51,MATCH($B22,$AJ$3:$AJ$51,0),1),1)),INDEX($AU$3:$AU$51,MATCH($B22,$AJ$3:$AJ$51,0),1))),IF(AND(VLOOKUP(State,Compact,2,FALSE)="Y",INDEX($AT$3:$AT$51,MATCH($B22,$AJ$3:$AJ$51,0),1)&lt;&gt;"Standard",INDEX($AT$3:$AT$51,MATCH($B22,$AJ$3:$AJ$51,0),1)&lt;&gt;"Variable"),INT(RIGHT(INDEX($AT$3:$AT$51,MATCH($B22,$AJ$3:$AJ$51,0),1),1)),INDEX($AU$3:$AU$51,MATCH($B22,$AJ$3:$AJ$51,0),1)))</f>
        <v>3</v>
      </c>
      <c r="D22" s="319">
        <v>4</v>
      </c>
      <c r="E22" s="317">
        <f t="shared" ref="E22" si="63">IF(AND(INDEX($AW$3:$AW$51,MATCH($B22,$AJ$3:$AJ$51,0),1)&lt;&gt;"Standard",State="CA"),INT(RIGHT(INDEX($AW$3:$AW$51,MATCH($B22,$AJ$3:$AJ$51,0),1),1)),INDEX($AX$3:$AX$51,MATCH($B22,$AJ$3:$AJ$51,0),1))</f>
        <v>3</v>
      </c>
      <c r="F22" s="319">
        <v>1</v>
      </c>
      <c r="G22" s="319" t="s">
        <v>241</v>
      </c>
      <c r="H22" s="319">
        <v>7</v>
      </c>
      <c r="I22" s="319">
        <v>2</v>
      </c>
      <c r="J22" s="319">
        <v>3</v>
      </c>
      <c r="K22" s="319">
        <v>5</v>
      </c>
      <c r="L22" s="317" cm="1">
        <f t="array" ref="L22">INDEX($AO$3:$AP$51,MATCH($B22,$AJ$3:$AJ$51,0),INDEX($AJ$58:$AJ$63,MATCH(LivBen,$AI$58:$AI$63,0),1))</f>
        <v>3</v>
      </c>
      <c r="M22" s="319">
        <v>0</v>
      </c>
      <c r="N22" s="319">
        <v>1</v>
      </c>
      <c r="O22" s="319">
        <v>1</v>
      </c>
      <c r="P22" s="368">
        <v>1</v>
      </c>
      <c r="Q22" s="319">
        <v>1</v>
      </c>
      <c r="R22" s="319" t="s">
        <v>223</v>
      </c>
      <c r="S22" s="318" t="s">
        <v>223</v>
      </c>
      <c r="T22" s="319">
        <v>1</v>
      </c>
      <c r="U22" s="319">
        <v>1</v>
      </c>
      <c r="Y22" s="369" t="s">
        <v>318</v>
      </c>
      <c r="AA22" s="369" t="s">
        <v>141</v>
      </c>
      <c r="AG22" s="336" t="s">
        <v>75</v>
      </c>
      <c r="AH22" s="337" t="str">
        <f t="shared" ref="AH22:AH32" si="64">TRIM(LEFT(AG22,2)&amp;IFERROR(MID(_xlfn.TEXTAFTER(SUBSTITUTE(AG22,"&amp; ","")," ",1),1,1),"")&amp;IFERROR(MID(_xlfn.TEXTAFTER(SUBSTITUTE(AG22,"&amp; ","")," ",2),1,1),"")&amp;IFERROR(MID(_xlfn.TEXTAFTER(SUBSTITUTE(AG22,"&amp; ","")," ",3),1,1),"")&amp;IFERROR(MID(_xlfn.TEXTAFTER(SUBSTITUTE(AG22,"&amp; ","")," ",4),1,1),""))</f>
        <v>InS</v>
      </c>
      <c r="AI22" s="337" t="s">
        <v>264</v>
      </c>
      <c r="AJ22" s="336" t="s">
        <v>319</v>
      </c>
      <c r="AK22" s="337" t="str">
        <f t="shared" ref="AK22:AK32" si="65">IF(AM22="None","None",TRIM(LEFT(AM22,1)&amp;IFERROR(MID(_xlfn.TEXTAFTER(AM22," ",1),1,1),"")&amp;IFERROR(MID(_xlfn.TEXTAFTER(AM22," ",2),1,1),"")&amp;IFERROR(MID(_xlfn.TEXTAFTER(AM22," ",3),1,1),"")&amp;IFERROR(MID(_xlfn.TEXTAFTER(AM22," ",4),1,1),"")&amp;LEFT(AN22,1)&amp;IFERROR(MID(_xlfn.TEXTAFTER(AN22," ",1),1,1),"")&amp;IFERROR(MID(_xlfn.TEXTAFTER(AN22," ",2),1,1),"")&amp;IFERROR(MID(_xlfn.TEXTAFTER(AN22," ",3),1,1),"")&amp;IFERROR(MID(_xlfn.TEXTAFTER(AN22," ",4),1,1),"")))</f>
        <v>LIMLIPMF</v>
      </c>
      <c r="AL22" s="337" t="s">
        <v>241</v>
      </c>
      <c r="AM22" s="338" t="s">
        <v>250</v>
      </c>
      <c r="AN22" s="339" t="s">
        <v>251</v>
      </c>
      <c r="AO22" s="340">
        <v>5</v>
      </c>
      <c r="AP22" s="340">
        <v>6</v>
      </c>
      <c r="AQ22" s="338" t="s">
        <v>272</v>
      </c>
      <c r="AR22" s="341" t="s">
        <v>273</v>
      </c>
      <c r="AS22" s="341" t="s">
        <v>274</v>
      </c>
      <c r="AT22" s="337" t="s">
        <v>83</v>
      </c>
      <c r="AU22" s="337">
        <v>4</v>
      </c>
      <c r="AV22" s="342"/>
      <c r="AW22" s="337" t="s">
        <v>83</v>
      </c>
      <c r="AX22" s="337">
        <v>3</v>
      </c>
      <c r="AY22" s="342"/>
      <c r="BC22" s="343">
        <v>64</v>
      </c>
      <c r="BD22" s="344">
        <f t="shared" si="10"/>
        <v>0</v>
      </c>
      <c r="BE22" s="345">
        <f t="shared" si="11"/>
        <v>0</v>
      </c>
      <c r="BF22" s="358">
        <f t="shared" ref="BF22" si="66">IF(OR($BC$2="None",RIGHT(Category,2)&lt;&gt;"NY"),$BG22,INDEX($CF$7:$CG$39,MATCH($BC22,$BC$7:$BC$39,0),MATCH($BC$2,$CF$6:$CG$6,0)))</f>
        <v>0</v>
      </c>
      <c r="BG22" s="347">
        <v>0</v>
      </c>
      <c r="BH22" s="348">
        <f t="shared" si="53"/>
        <v>0.06</v>
      </c>
      <c r="BI22" s="349">
        <f t="shared" si="53"/>
        <v>5.5E-2</v>
      </c>
      <c r="BJ22" s="348">
        <f t="shared" si="53"/>
        <v>7.0000000000000007E-2</v>
      </c>
      <c r="BK22" s="349">
        <f t="shared" si="53"/>
        <v>6.5000000000000002E-2</v>
      </c>
      <c r="BL22" s="348">
        <f t="shared" si="53"/>
        <v>6.6000000000000003E-2</v>
      </c>
      <c r="BM22" s="349">
        <f t="shared" si="53"/>
        <v>6.0999999999999999E-2</v>
      </c>
      <c r="BN22" s="348">
        <f t="shared" si="53"/>
        <v>6.1499999999999999E-2</v>
      </c>
      <c r="BO22" s="349">
        <f t="shared" si="53"/>
        <v>5.6500000000000002E-2</v>
      </c>
      <c r="BP22" s="348">
        <f t="shared" si="53"/>
        <v>6.8500000000000005E-2</v>
      </c>
      <c r="BQ22" s="349">
        <f t="shared" si="53"/>
        <v>6.3500000000000001E-2</v>
      </c>
      <c r="BR22" s="348">
        <f t="shared" si="53"/>
        <v>6.4000000000000001E-2</v>
      </c>
      <c r="BS22" s="349">
        <f t="shared" si="53"/>
        <v>5.8999999999999997E-2</v>
      </c>
      <c r="BT22" s="348">
        <f t="shared" si="58"/>
        <v>7.4500000000000011E-2</v>
      </c>
      <c r="BU22" s="349">
        <f t="shared" si="58"/>
        <v>6.950000000000002E-2</v>
      </c>
      <c r="BV22" s="348">
        <f t="shared" si="58"/>
        <v>6.8500000000000019E-2</v>
      </c>
      <c r="BW22" s="349">
        <f t="shared" si="58"/>
        <v>6.3500000000000015E-2</v>
      </c>
      <c r="BX22" s="348">
        <f t="shared" si="58"/>
        <v>7.7000000000000013E-2</v>
      </c>
      <c r="BY22" s="349">
        <f t="shared" si="58"/>
        <v>7.2000000000000008E-2</v>
      </c>
      <c r="BZ22" s="348">
        <f t="shared" si="58"/>
        <v>7.1000000000000021E-2</v>
      </c>
      <c r="CA22" s="349">
        <f t="shared" si="58"/>
        <v>6.6000000000000017E-2</v>
      </c>
      <c r="CB22" s="350">
        <f t="shared" si="54"/>
        <v>0.06</v>
      </c>
      <c r="CC22" s="351">
        <f t="shared" si="54"/>
        <v>5.5E-2</v>
      </c>
      <c r="CD22" s="350">
        <f t="shared" si="54"/>
        <v>0.05</v>
      </c>
      <c r="CE22" s="351">
        <f t="shared" si="54"/>
        <v>4.4999999999999998E-2</v>
      </c>
      <c r="CF22" s="366">
        <f t="shared" si="28"/>
        <v>6.4000000000000015E-2</v>
      </c>
      <c r="CG22" s="367">
        <f t="shared" si="28"/>
        <v>5.9000000000000011E-2</v>
      </c>
    </row>
    <row r="23" spans="2:85" ht="14.4" x14ac:dyDescent="0.3">
      <c r="B23" s="316" t="s">
        <v>298</v>
      </c>
      <c r="C23" s="317">
        <f t="shared" ref="C23" si="67">IF(LEFT(INDEX($AT$3:$AT$51,MATCH($B23,$AJ$3:$AJ$51,0),1),1)="C",IF(VLOOKUP(State,Compact,3,FALSE)="Y",INT(MID(INDEX($AT$3:$AT$51,MATCH($B23,$AJ$3:$AJ$51,0),1),3,1)),IF(State="CA",INT(RIGHT(INDEX($AT$3:$AT$51,MATCH($B23,$AJ$3:$AJ$51,0),1),1)),INDEX($AU$3:$AU$51,MATCH($B23,$AJ$3:$AJ$51,0),1))),IF(AND(VLOOKUP(State,Compact,2,FALSE)="Y",INDEX($AT$3:$AT$51,MATCH($B23,$AJ$3:$AJ$51,0),1)&lt;&gt;"Standard",INDEX($AT$3:$AT$51,MATCH($B23,$AJ$3:$AJ$51,0),1)&lt;&gt;"Variable"),INT(RIGHT(INDEX($AT$3:$AT$51,MATCH($B23,$AJ$3:$AJ$51,0),1),1)),INDEX($AU$3:$AU$51,MATCH($B23,$AJ$3:$AJ$51,0),1)))</f>
        <v>2</v>
      </c>
      <c r="D23" s="319">
        <v>4</v>
      </c>
      <c r="E23" s="317">
        <f t="shared" ref="E23" si="68">IF(AND(INDEX($AW$3:$AW$51,MATCH($B23,$AJ$3:$AJ$51,0),1)&lt;&gt;"Standard",State="CA"),INT(RIGHT(INDEX($AW$3:$AW$51,MATCH($B23,$AJ$3:$AJ$51,0),1),1)),INDEX($AX$3:$AX$51,MATCH($B23,$AJ$3:$AJ$51,0),1))</f>
        <v>3</v>
      </c>
      <c r="F23" s="319">
        <v>1</v>
      </c>
      <c r="G23" s="319" t="s">
        <v>73</v>
      </c>
      <c r="H23" s="319">
        <v>8</v>
      </c>
      <c r="I23" s="319">
        <v>4</v>
      </c>
      <c r="J23" s="319">
        <v>3</v>
      </c>
      <c r="K23" s="319">
        <v>5</v>
      </c>
      <c r="L23" s="317" cm="1">
        <f t="array" ref="L23">INDEX($AO$3:$AP$51,MATCH($B23,$AJ$3:$AJ$51,0),INDEX($AJ$58:$AJ$63,MATCH(LivBen,$AI$58:$AI$63,0),1))</f>
        <v>0</v>
      </c>
      <c r="M23" s="319">
        <v>0</v>
      </c>
      <c r="N23" s="319">
        <v>1</v>
      </c>
      <c r="O23" s="319">
        <v>1</v>
      </c>
      <c r="P23" s="368">
        <v>1</v>
      </c>
      <c r="Q23" s="319">
        <v>1</v>
      </c>
      <c r="R23" s="319" t="s">
        <v>223</v>
      </c>
      <c r="S23" s="318" t="s">
        <v>223</v>
      </c>
      <c r="T23" s="319">
        <v>1</v>
      </c>
      <c r="U23" s="319">
        <v>1</v>
      </c>
      <c r="Y23" s="370" t="s">
        <v>79</v>
      </c>
      <c r="AA23" s="370" t="s">
        <v>142</v>
      </c>
      <c r="AG23" s="336" t="s">
        <v>75</v>
      </c>
      <c r="AH23" s="337" t="str">
        <f t="shared" si="64"/>
        <v>InS</v>
      </c>
      <c r="AI23" s="337" t="s">
        <v>264</v>
      </c>
      <c r="AJ23" s="336" t="s">
        <v>320</v>
      </c>
      <c r="AK23" s="337" t="str">
        <f t="shared" si="65"/>
        <v>LIMLIPMF</v>
      </c>
      <c r="AL23" s="337" t="s">
        <v>241</v>
      </c>
      <c r="AM23" s="338" t="s">
        <v>250</v>
      </c>
      <c r="AN23" s="339" t="s">
        <v>251</v>
      </c>
      <c r="AO23" s="340">
        <v>5</v>
      </c>
      <c r="AP23" s="340">
        <v>6</v>
      </c>
      <c r="AQ23" s="338" t="s">
        <v>79</v>
      </c>
      <c r="AR23" s="341"/>
      <c r="AS23" s="341"/>
      <c r="AT23" s="337" t="s">
        <v>83</v>
      </c>
      <c r="AU23" s="337">
        <v>4</v>
      </c>
      <c r="AV23" s="342" t="s">
        <v>321</v>
      </c>
      <c r="AW23" s="337" t="s">
        <v>83</v>
      </c>
      <c r="AX23" s="337">
        <v>3</v>
      </c>
      <c r="AY23" s="342"/>
      <c r="BC23" s="343">
        <v>65</v>
      </c>
      <c r="BD23" s="344">
        <f t="shared" si="10"/>
        <v>0</v>
      </c>
      <c r="BE23" s="345">
        <f t="shared" si="11"/>
        <v>0</v>
      </c>
      <c r="BF23" s="358">
        <f t="shared" ref="BF23" si="69">IF(OR($BC$2="None",RIGHT(Category,2)&lt;&gt;"NY"),$BG23,INDEX($CF$7:$CG$39,MATCH($BC23,$BC$7:$BC$39,0),MATCH($BC$2,$CF$6:$CG$6,0)))</f>
        <v>0</v>
      </c>
      <c r="BG23" s="347">
        <v>0</v>
      </c>
      <c r="BH23" s="359">
        <v>7.4999999999999997E-2</v>
      </c>
      <c r="BI23" s="360">
        <v>7.0000000000000007E-2</v>
      </c>
      <c r="BJ23" s="359">
        <v>0.09</v>
      </c>
      <c r="BK23" s="360">
        <v>8.5000000000000006E-2</v>
      </c>
      <c r="BL23" s="359">
        <v>7.1999999999999995E-2</v>
      </c>
      <c r="BM23" s="360">
        <v>6.7000000000000004E-2</v>
      </c>
      <c r="BN23" s="359">
        <v>6.7500000000000004E-2</v>
      </c>
      <c r="BO23" s="360">
        <v>6.25E-2</v>
      </c>
      <c r="BP23" s="359">
        <v>7.4499999999999997E-2</v>
      </c>
      <c r="BQ23" s="360">
        <v>6.9500000000000006E-2</v>
      </c>
      <c r="BR23" s="359">
        <v>7.0000000000000007E-2</v>
      </c>
      <c r="BS23" s="360">
        <v>6.5000000000000002E-2</v>
      </c>
      <c r="BT23" s="348">
        <f t="shared" si="58"/>
        <v>7.6000000000000012E-2</v>
      </c>
      <c r="BU23" s="349">
        <f t="shared" si="58"/>
        <v>7.1000000000000021E-2</v>
      </c>
      <c r="BV23" s="348">
        <f t="shared" si="58"/>
        <v>7.0000000000000021E-2</v>
      </c>
      <c r="BW23" s="349">
        <f t="shared" si="58"/>
        <v>6.5000000000000016E-2</v>
      </c>
      <c r="BX23" s="348">
        <f t="shared" si="58"/>
        <v>7.8500000000000014E-2</v>
      </c>
      <c r="BY23" s="349">
        <f t="shared" si="58"/>
        <v>7.350000000000001E-2</v>
      </c>
      <c r="BZ23" s="348">
        <f t="shared" si="58"/>
        <v>7.2500000000000023E-2</v>
      </c>
      <c r="CA23" s="349">
        <f t="shared" si="58"/>
        <v>6.7500000000000018E-2</v>
      </c>
      <c r="CB23" s="361">
        <v>7.4999999999999997E-2</v>
      </c>
      <c r="CC23" s="362">
        <v>7.0000000000000007E-2</v>
      </c>
      <c r="CD23" s="361">
        <v>0.06</v>
      </c>
      <c r="CE23" s="362">
        <v>5.5E-2</v>
      </c>
      <c r="CF23" s="366">
        <f t="shared" si="28"/>
        <v>6.5000000000000016E-2</v>
      </c>
      <c r="CG23" s="367">
        <f t="shared" si="28"/>
        <v>6.0000000000000012E-2</v>
      </c>
    </row>
    <row r="24" spans="2:85" ht="14.4" x14ac:dyDescent="0.3">
      <c r="B24" s="316" t="s">
        <v>302</v>
      </c>
      <c r="C24" s="317">
        <f t="shared" ref="C24" si="70">IF(LEFT(INDEX($AT$3:$AT$51,MATCH($B24,$AJ$3:$AJ$51,0),1),1)="C",IF(VLOOKUP(State,Compact,3,FALSE)="Y",INT(MID(INDEX($AT$3:$AT$51,MATCH($B24,$AJ$3:$AJ$51,0),1),3,1)),IF(State="CA",INT(RIGHT(INDEX($AT$3:$AT$51,MATCH($B24,$AJ$3:$AJ$51,0),1),1)),INDEX($AU$3:$AU$51,MATCH($B24,$AJ$3:$AJ$51,0),1))),IF(AND(VLOOKUP(State,Compact,2,FALSE)="Y",INDEX($AT$3:$AT$51,MATCH($B24,$AJ$3:$AJ$51,0),1)&lt;&gt;"Standard",INDEX($AT$3:$AT$51,MATCH($B24,$AJ$3:$AJ$51,0),1)&lt;&gt;"Variable"),INT(RIGHT(INDEX($AT$3:$AT$51,MATCH($B24,$AJ$3:$AJ$51,0),1),1)),INDEX($AU$3:$AU$51,MATCH($B24,$AJ$3:$AJ$51,0),1)))</f>
        <v>2</v>
      </c>
      <c r="D24" s="319">
        <v>4</v>
      </c>
      <c r="E24" s="317">
        <f t="shared" ref="E24" si="71">IF(AND(INDEX($AW$3:$AW$51,MATCH($B24,$AJ$3:$AJ$51,0),1)&lt;&gt;"Standard",State="CA"),INT(RIGHT(INDEX($AW$3:$AW$51,MATCH($B24,$AJ$3:$AJ$51,0),1),1)),INDEX($AX$3:$AX$51,MATCH($B24,$AJ$3:$AJ$51,0),1))</f>
        <v>3</v>
      </c>
      <c r="F24" s="319">
        <v>1</v>
      </c>
      <c r="G24" s="319" t="s">
        <v>241</v>
      </c>
      <c r="H24" s="319">
        <v>7</v>
      </c>
      <c r="I24" s="319">
        <v>2</v>
      </c>
      <c r="J24" s="319">
        <v>3</v>
      </c>
      <c r="K24" s="319">
        <v>5</v>
      </c>
      <c r="L24" s="317" cm="1">
        <f t="array" ref="L24">INDEX($AO$3:$AP$51,MATCH($B24,$AJ$3:$AJ$51,0),INDEX($AJ$58:$AJ$63,MATCH(LivBen,$AI$58:$AI$63,0),1))</f>
        <v>3</v>
      </c>
      <c r="M24" s="319">
        <v>0</v>
      </c>
      <c r="N24" s="319">
        <v>1</v>
      </c>
      <c r="O24" s="319">
        <v>1</v>
      </c>
      <c r="P24" s="368">
        <v>1</v>
      </c>
      <c r="Q24" s="319">
        <v>1</v>
      </c>
      <c r="R24" s="319" t="s">
        <v>223</v>
      </c>
      <c r="S24" s="318" t="s">
        <v>223</v>
      </c>
      <c r="T24" s="319">
        <v>1</v>
      </c>
      <c r="U24" s="319">
        <v>1</v>
      </c>
      <c r="Y24" s="370" t="s">
        <v>99</v>
      </c>
      <c r="AA24" s="370" t="s">
        <v>322</v>
      </c>
      <c r="AG24" s="336" t="s">
        <v>75</v>
      </c>
      <c r="AH24" s="337" t="str">
        <f t="shared" si="64"/>
        <v>InS</v>
      </c>
      <c r="AI24" s="337" t="s">
        <v>264</v>
      </c>
      <c r="AJ24" s="336" t="s">
        <v>323</v>
      </c>
      <c r="AK24" s="337" t="str">
        <f t="shared" si="65"/>
        <v>None</v>
      </c>
      <c r="AL24" s="337" t="s">
        <v>73</v>
      </c>
      <c r="AM24" s="338" t="s">
        <v>79</v>
      </c>
      <c r="AN24" s="339"/>
      <c r="AO24" s="340"/>
      <c r="AP24" s="340"/>
      <c r="AQ24" s="338" t="s">
        <v>79</v>
      </c>
      <c r="AR24" s="341"/>
      <c r="AS24" s="341"/>
      <c r="AT24" s="337" t="s">
        <v>83</v>
      </c>
      <c r="AU24" s="337">
        <v>2</v>
      </c>
      <c r="AV24" s="342"/>
      <c r="AW24" s="337" t="s">
        <v>83</v>
      </c>
      <c r="AX24" s="337">
        <v>3</v>
      </c>
      <c r="AY24" s="342"/>
      <c r="BC24" s="343">
        <v>66</v>
      </c>
      <c r="BD24" s="344">
        <f t="shared" si="10"/>
        <v>0</v>
      </c>
      <c r="BE24" s="345">
        <f t="shared" si="11"/>
        <v>0</v>
      </c>
      <c r="BF24" s="358">
        <f t="shared" ref="BF24" si="72">IF(OR($BC$2="None",RIGHT(Category,2)&lt;&gt;"NY"),$BG24,INDEX($CF$7:$CG$39,MATCH($BC24,$BC$7:$BC$39,0),MATCH($BC$2,$CF$6:$CG$6,0)))</f>
        <v>0</v>
      </c>
      <c r="BG24" s="347">
        <v>0</v>
      </c>
      <c r="BH24" s="348">
        <f t="shared" ref="BH24:BS27" si="73">BH23</f>
        <v>7.4999999999999997E-2</v>
      </c>
      <c r="BI24" s="349">
        <f t="shared" si="73"/>
        <v>7.0000000000000007E-2</v>
      </c>
      <c r="BJ24" s="348">
        <f t="shared" si="73"/>
        <v>0.09</v>
      </c>
      <c r="BK24" s="349">
        <f t="shared" si="73"/>
        <v>8.5000000000000006E-2</v>
      </c>
      <c r="BL24" s="348">
        <f t="shared" si="73"/>
        <v>7.1999999999999995E-2</v>
      </c>
      <c r="BM24" s="349">
        <f t="shared" si="73"/>
        <v>6.7000000000000004E-2</v>
      </c>
      <c r="BN24" s="348">
        <f t="shared" si="73"/>
        <v>6.7500000000000004E-2</v>
      </c>
      <c r="BO24" s="349">
        <f t="shared" si="73"/>
        <v>6.25E-2</v>
      </c>
      <c r="BP24" s="348">
        <f t="shared" si="73"/>
        <v>7.4499999999999997E-2</v>
      </c>
      <c r="BQ24" s="349">
        <f t="shared" si="73"/>
        <v>6.9500000000000006E-2</v>
      </c>
      <c r="BR24" s="348">
        <f t="shared" si="73"/>
        <v>7.0000000000000007E-2</v>
      </c>
      <c r="BS24" s="349">
        <f t="shared" si="73"/>
        <v>6.5000000000000002E-2</v>
      </c>
      <c r="BT24" s="348">
        <f t="shared" ref="BT24:CA38" si="74">BT23+0.001</f>
        <v>7.7000000000000013E-2</v>
      </c>
      <c r="BU24" s="349">
        <f t="shared" si="74"/>
        <v>7.2000000000000022E-2</v>
      </c>
      <c r="BV24" s="348">
        <f t="shared" si="74"/>
        <v>7.1000000000000021E-2</v>
      </c>
      <c r="BW24" s="349">
        <f t="shared" si="74"/>
        <v>6.6000000000000017E-2</v>
      </c>
      <c r="BX24" s="348">
        <f t="shared" si="74"/>
        <v>7.9500000000000015E-2</v>
      </c>
      <c r="BY24" s="349">
        <f t="shared" si="74"/>
        <v>7.4500000000000011E-2</v>
      </c>
      <c r="BZ24" s="348">
        <f t="shared" si="74"/>
        <v>7.3500000000000024E-2</v>
      </c>
      <c r="CA24" s="349">
        <f t="shared" si="74"/>
        <v>6.8500000000000019E-2</v>
      </c>
      <c r="CB24" s="350">
        <f t="shared" ref="CB24:CE27" si="75">CB23</f>
        <v>7.4999999999999997E-2</v>
      </c>
      <c r="CC24" s="351">
        <f t="shared" si="75"/>
        <v>7.0000000000000007E-2</v>
      </c>
      <c r="CD24" s="350">
        <f t="shared" si="75"/>
        <v>0.06</v>
      </c>
      <c r="CE24" s="351">
        <f t="shared" si="75"/>
        <v>5.5E-2</v>
      </c>
      <c r="CF24" s="366">
        <f>CF23+0.0005</f>
        <v>6.5500000000000017E-2</v>
      </c>
      <c r="CG24" s="367">
        <f>CG23+0.0005</f>
        <v>6.0500000000000012E-2</v>
      </c>
    </row>
    <row r="25" spans="2:85" ht="14.4" x14ac:dyDescent="0.3">
      <c r="B25" s="316" t="s">
        <v>219</v>
      </c>
      <c r="C25" s="317">
        <f t="shared" ref="C25" si="76">IF(LEFT(INDEX($AT$3:$AT$51,MATCH($B25,$AJ$3:$AJ$51,0),1),1)="C",IF(VLOOKUP(State,Compact,3,FALSE)="Y",INT(MID(INDEX($AT$3:$AT$51,MATCH($B25,$AJ$3:$AJ$51,0),1),3,1)),IF(State="CA",INT(RIGHT(INDEX($AT$3:$AT$51,MATCH($B25,$AJ$3:$AJ$51,0),1),1)),INDEX($AU$3:$AU$51,MATCH($B25,$AJ$3:$AJ$51,0),1))),IF(AND(VLOOKUP(State,Compact,2,FALSE)="Y",INDEX($AT$3:$AT$51,MATCH($B25,$AJ$3:$AJ$51,0),1)&lt;&gt;"Standard",INDEX($AT$3:$AT$51,MATCH($B25,$AJ$3:$AJ$51,0),1)&lt;&gt;"Variable"),INT(RIGHT(INDEX($AT$3:$AT$51,MATCH($B25,$AJ$3:$AJ$51,0),1),1)),INDEX($AU$3:$AU$51,MATCH($B25,$AJ$3:$AJ$51,0),1)))</f>
        <v>4</v>
      </c>
      <c r="D25" s="319">
        <v>4</v>
      </c>
      <c r="E25" s="317">
        <f t="shared" ref="E25" si="77">IF(AND(INDEX($AW$3:$AW$51,MATCH($B25,$AJ$3:$AJ$51,0),1)&lt;&gt;"Standard",State="CA"),INT(RIGHT(INDEX($AW$3:$AW$51,MATCH($B25,$AJ$3:$AJ$51,0),1),1)),INDEX($AX$3:$AX$51,MATCH($B25,$AJ$3:$AJ$51,0),1))</f>
        <v>3</v>
      </c>
      <c r="F25" s="319">
        <v>1</v>
      </c>
      <c r="G25" s="319" t="s">
        <v>73</v>
      </c>
      <c r="H25" s="319">
        <v>8</v>
      </c>
      <c r="I25" s="319">
        <v>4</v>
      </c>
      <c r="J25" s="319">
        <v>3</v>
      </c>
      <c r="K25" s="319">
        <v>5</v>
      </c>
      <c r="L25" s="317" cm="1">
        <f t="array" ref="L25">INDEX($AO$3:$AP$51,MATCH($B25,$AJ$3:$AJ$51,0),INDEX($AJ$58:$AJ$63,MATCH(LivBen,$AI$58:$AI$63,0),1))</f>
        <v>0</v>
      </c>
      <c r="M25" s="319">
        <v>0</v>
      </c>
      <c r="N25" s="319">
        <v>1</v>
      </c>
      <c r="O25" s="319">
        <v>1</v>
      </c>
      <c r="P25" s="368">
        <v>1</v>
      </c>
      <c r="Q25" s="319">
        <v>1</v>
      </c>
      <c r="R25" s="319" t="s">
        <v>223</v>
      </c>
      <c r="S25" s="318" t="s">
        <v>223</v>
      </c>
      <c r="T25" s="319">
        <v>1</v>
      </c>
      <c r="U25" s="319">
        <v>1</v>
      </c>
      <c r="Y25" s="371" t="s">
        <v>324</v>
      </c>
      <c r="AA25" s="371" t="s">
        <v>325</v>
      </c>
      <c r="AG25" s="336" t="s">
        <v>75</v>
      </c>
      <c r="AH25" s="337" t="str">
        <f t="shared" si="64"/>
        <v>InS</v>
      </c>
      <c r="AI25" s="337" t="s">
        <v>264</v>
      </c>
      <c r="AJ25" s="336" t="s">
        <v>326</v>
      </c>
      <c r="AK25" s="337" t="str">
        <f t="shared" si="65"/>
        <v>LIMLIPMF</v>
      </c>
      <c r="AL25" s="337" t="s">
        <v>241</v>
      </c>
      <c r="AM25" s="338" t="s">
        <v>250</v>
      </c>
      <c r="AN25" s="339" t="s">
        <v>251</v>
      </c>
      <c r="AO25" s="340">
        <v>3</v>
      </c>
      <c r="AP25" s="340">
        <v>4</v>
      </c>
      <c r="AQ25" s="338" t="s">
        <v>272</v>
      </c>
      <c r="AR25" s="341" t="s">
        <v>273</v>
      </c>
      <c r="AS25" s="341"/>
      <c r="AT25" s="337" t="s">
        <v>83</v>
      </c>
      <c r="AU25" s="337">
        <v>2</v>
      </c>
      <c r="AV25" s="342"/>
      <c r="AW25" s="337" t="s">
        <v>83</v>
      </c>
      <c r="AX25" s="337">
        <v>3</v>
      </c>
      <c r="AY25" s="342"/>
      <c r="BC25" s="343">
        <v>67</v>
      </c>
      <c r="BD25" s="344">
        <f t="shared" si="10"/>
        <v>0</v>
      </c>
      <c r="BE25" s="345">
        <f t="shared" si="11"/>
        <v>0</v>
      </c>
      <c r="BF25" s="358">
        <f t="shared" ref="BF25" si="78">IF(OR($BC$2="None",RIGHT(Category,2)&lt;&gt;"NY"),$BG25,INDEX($CF$7:$CG$39,MATCH($BC25,$BC$7:$BC$39,0),MATCH($BC$2,$CF$6:$CG$6,0)))</f>
        <v>0</v>
      </c>
      <c r="BG25" s="347">
        <v>0</v>
      </c>
      <c r="BH25" s="348">
        <f t="shared" si="73"/>
        <v>7.4999999999999997E-2</v>
      </c>
      <c r="BI25" s="349">
        <f t="shared" si="73"/>
        <v>7.0000000000000007E-2</v>
      </c>
      <c r="BJ25" s="348">
        <f t="shared" si="73"/>
        <v>0.09</v>
      </c>
      <c r="BK25" s="349">
        <f t="shared" si="73"/>
        <v>8.5000000000000006E-2</v>
      </c>
      <c r="BL25" s="348">
        <f t="shared" si="73"/>
        <v>7.1999999999999995E-2</v>
      </c>
      <c r="BM25" s="349">
        <f t="shared" si="73"/>
        <v>6.7000000000000004E-2</v>
      </c>
      <c r="BN25" s="348">
        <f t="shared" si="73"/>
        <v>6.7500000000000004E-2</v>
      </c>
      <c r="BO25" s="349">
        <f t="shared" si="73"/>
        <v>6.25E-2</v>
      </c>
      <c r="BP25" s="348">
        <f t="shared" si="73"/>
        <v>7.4499999999999997E-2</v>
      </c>
      <c r="BQ25" s="349">
        <f t="shared" si="73"/>
        <v>6.9500000000000006E-2</v>
      </c>
      <c r="BR25" s="348">
        <f t="shared" si="73"/>
        <v>7.0000000000000007E-2</v>
      </c>
      <c r="BS25" s="349">
        <f t="shared" si="73"/>
        <v>6.5000000000000002E-2</v>
      </c>
      <c r="BT25" s="348">
        <f t="shared" si="74"/>
        <v>7.8000000000000014E-2</v>
      </c>
      <c r="BU25" s="349">
        <f t="shared" si="74"/>
        <v>7.3000000000000023E-2</v>
      </c>
      <c r="BV25" s="348">
        <f t="shared" si="74"/>
        <v>7.2000000000000022E-2</v>
      </c>
      <c r="BW25" s="349">
        <f t="shared" si="74"/>
        <v>6.7000000000000018E-2</v>
      </c>
      <c r="BX25" s="348">
        <f t="shared" si="74"/>
        <v>8.0500000000000016E-2</v>
      </c>
      <c r="BY25" s="349">
        <f t="shared" si="74"/>
        <v>7.5500000000000012E-2</v>
      </c>
      <c r="BZ25" s="348">
        <f t="shared" si="74"/>
        <v>7.4500000000000025E-2</v>
      </c>
      <c r="CA25" s="349">
        <f t="shared" si="74"/>
        <v>6.950000000000002E-2</v>
      </c>
      <c r="CB25" s="350">
        <f t="shared" si="75"/>
        <v>7.4999999999999997E-2</v>
      </c>
      <c r="CC25" s="351">
        <f t="shared" si="75"/>
        <v>7.0000000000000007E-2</v>
      </c>
      <c r="CD25" s="350">
        <f t="shared" si="75"/>
        <v>0.06</v>
      </c>
      <c r="CE25" s="351">
        <f t="shared" si="75"/>
        <v>5.5E-2</v>
      </c>
      <c r="CF25" s="366">
        <f>CF24+0.0005</f>
        <v>6.6000000000000017E-2</v>
      </c>
      <c r="CG25" s="367">
        <f>CG24+0.0005</f>
        <v>6.1000000000000013E-2</v>
      </c>
    </row>
    <row r="26" spans="2:85" ht="14.4" x14ac:dyDescent="0.3">
      <c r="B26" s="316" t="s">
        <v>319</v>
      </c>
      <c r="C26" s="317">
        <f t="shared" ref="C26" si="79">IF(LEFT(INDEX($AT$3:$AT$51,MATCH($B26,$AJ$3:$AJ$51,0),1),1)="C",IF(VLOOKUP(State,Compact,3,FALSE)="Y",INT(MID(INDEX($AT$3:$AT$51,MATCH($B26,$AJ$3:$AJ$51,0),1),3,1)),IF(State="CA",INT(RIGHT(INDEX($AT$3:$AT$51,MATCH($B26,$AJ$3:$AJ$51,0),1),1)),INDEX($AU$3:$AU$51,MATCH($B26,$AJ$3:$AJ$51,0),1))),IF(AND(VLOOKUP(State,Compact,2,FALSE)="Y",INDEX($AT$3:$AT$51,MATCH($B26,$AJ$3:$AJ$51,0),1)&lt;&gt;"Standard",INDEX($AT$3:$AT$51,MATCH($B26,$AJ$3:$AJ$51,0),1)&lt;&gt;"Variable"),INT(RIGHT(INDEX($AT$3:$AT$51,MATCH($B26,$AJ$3:$AJ$51,0),1),1)),INDEX($AU$3:$AU$51,MATCH($B26,$AJ$3:$AJ$51,0),1)))</f>
        <v>4</v>
      </c>
      <c r="D26" s="319">
        <v>4</v>
      </c>
      <c r="E26" s="317">
        <f t="shared" ref="E26" si="80">IF(AND(INDEX($AW$3:$AW$51,MATCH($B26,$AJ$3:$AJ$51,0),1)&lt;&gt;"Standard",State="CA"),INT(RIGHT(INDEX($AW$3:$AW$51,MATCH($B26,$AJ$3:$AJ$51,0),1),1)),INDEX($AX$3:$AX$51,MATCH($B26,$AJ$3:$AJ$51,0),1))</f>
        <v>3</v>
      </c>
      <c r="F26" s="319">
        <v>1</v>
      </c>
      <c r="G26" s="319" t="s">
        <v>241</v>
      </c>
      <c r="H26" s="319">
        <v>7</v>
      </c>
      <c r="I26" s="319">
        <v>2</v>
      </c>
      <c r="J26" s="319">
        <v>3</v>
      </c>
      <c r="K26" s="319">
        <v>5</v>
      </c>
      <c r="L26" s="317" cm="1">
        <f t="array" ref="L26">INDEX($AO$3:$AP$51,MATCH($B26,$AJ$3:$AJ$51,0),INDEX($AJ$58:$AJ$63,MATCH(LivBen,$AI$58:$AI$63,0),1))</f>
        <v>5</v>
      </c>
      <c r="M26" s="319">
        <v>0</v>
      </c>
      <c r="N26" s="319">
        <v>1</v>
      </c>
      <c r="O26" s="319">
        <v>1</v>
      </c>
      <c r="P26" s="368">
        <v>1</v>
      </c>
      <c r="Q26" s="319">
        <v>1</v>
      </c>
      <c r="R26" s="319" t="s">
        <v>223</v>
      </c>
      <c r="S26" s="318" t="s">
        <v>223</v>
      </c>
      <c r="T26" s="319">
        <v>1</v>
      </c>
      <c r="U26" s="319">
        <v>1</v>
      </c>
      <c r="AG26" s="325" t="s">
        <v>307</v>
      </c>
      <c r="AH26" s="326" t="str">
        <f t="shared" si="64"/>
        <v>PoI5N</v>
      </c>
      <c r="AI26" s="326" t="s">
        <v>327</v>
      </c>
      <c r="AJ26" s="325" t="s">
        <v>307</v>
      </c>
      <c r="AK26" s="326" t="str">
        <f t="shared" si="65"/>
        <v>None</v>
      </c>
      <c r="AL26" s="326" t="s">
        <v>73</v>
      </c>
      <c r="AM26" s="327" t="s">
        <v>79</v>
      </c>
      <c r="AN26" s="328"/>
      <c r="AO26" s="329"/>
      <c r="AP26" s="329"/>
      <c r="AQ26" s="327" t="s">
        <v>79</v>
      </c>
      <c r="AR26" s="330"/>
      <c r="AS26" s="330"/>
      <c r="AT26" s="326" t="s">
        <v>83</v>
      </c>
      <c r="AU26" s="326">
        <v>3</v>
      </c>
      <c r="AV26" s="331"/>
      <c r="AW26" s="326" t="s">
        <v>83</v>
      </c>
      <c r="AX26" s="326">
        <v>3</v>
      </c>
      <c r="AY26" s="331"/>
      <c r="BC26" s="343">
        <v>68</v>
      </c>
      <c r="BD26" s="344">
        <f t="shared" si="10"/>
        <v>0</v>
      </c>
      <c r="BE26" s="345">
        <f t="shared" si="11"/>
        <v>0</v>
      </c>
      <c r="BF26" s="358">
        <f t="shared" ref="BF26" si="81">IF(OR($BC$2="None",RIGHT(Category,2)&lt;&gt;"NY"),$BG26,INDEX($CF$7:$CG$39,MATCH($BC26,$BC$7:$BC$39,0),MATCH($BC$2,$CF$6:$CG$6,0)))</f>
        <v>0</v>
      </c>
      <c r="BG26" s="347">
        <v>0</v>
      </c>
      <c r="BH26" s="348">
        <f t="shared" si="73"/>
        <v>7.4999999999999997E-2</v>
      </c>
      <c r="BI26" s="349">
        <f t="shared" si="73"/>
        <v>7.0000000000000007E-2</v>
      </c>
      <c r="BJ26" s="348">
        <f t="shared" si="73"/>
        <v>0.09</v>
      </c>
      <c r="BK26" s="349">
        <f t="shared" si="73"/>
        <v>8.5000000000000006E-2</v>
      </c>
      <c r="BL26" s="348">
        <f t="shared" si="73"/>
        <v>7.1999999999999995E-2</v>
      </c>
      <c r="BM26" s="349">
        <f t="shared" si="73"/>
        <v>6.7000000000000004E-2</v>
      </c>
      <c r="BN26" s="348">
        <f t="shared" si="73"/>
        <v>6.7500000000000004E-2</v>
      </c>
      <c r="BO26" s="349">
        <f t="shared" si="73"/>
        <v>6.25E-2</v>
      </c>
      <c r="BP26" s="348">
        <f t="shared" si="73"/>
        <v>7.4499999999999997E-2</v>
      </c>
      <c r="BQ26" s="349">
        <f t="shared" si="73"/>
        <v>6.9500000000000006E-2</v>
      </c>
      <c r="BR26" s="348">
        <f t="shared" si="73"/>
        <v>7.0000000000000007E-2</v>
      </c>
      <c r="BS26" s="349">
        <f t="shared" si="73"/>
        <v>6.5000000000000002E-2</v>
      </c>
      <c r="BT26" s="348">
        <f t="shared" si="74"/>
        <v>7.9000000000000015E-2</v>
      </c>
      <c r="BU26" s="349">
        <f t="shared" si="74"/>
        <v>7.4000000000000024E-2</v>
      </c>
      <c r="BV26" s="348">
        <f t="shared" si="74"/>
        <v>7.3000000000000023E-2</v>
      </c>
      <c r="BW26" s="349">
        <f t="shared" si="74"/>
        <v>6.8000000000000019E-2</v>
      </c>
      <c r="BX26" s="348">
        <f t="shared" si="74"/>
        <v>8.1500000000000017E-2</v>
      </c>
      <c r="BY26" s="349">
        <f t="shared" si="74"/>
        <v>7.6500000000000012E-2</v>
      </c>
      <c r="BZ26" s="348">
        <f t="shared" si="74"/>
        <v>7.5500000000000025E-2</v>
      </c>
      <c r="CA26" s="349">
        <f t="shared" si="74"/>
        <v>7.0500000000000021E-2</v>
      </c>
      <c r="CB26" s="350">
        <f t="shared" si="75"/>
        <v>7.4999999999999997E-2</v>
      </c>
      <c r="CC26" s="351">
        <f t="shared" si="75"/>
        <v>7.0000000000000007E-2</v>
      </c>
      <c r="CD26" s="350">
        <f t="shared" si="75"/>
        <v>0.06</v>
      </c>
      <c r="CE26" s="351">
        <f t="shared" si="75"/>
        <v>5.5E-2</v>
      </c>
      <c r="CF26" s="366">
        <f t="shared" ref="CF26:CG29" si="82">CF25+0.0005</f>
        <v>6.6500000000000017E-2</v>
      </c>
      <c r="CG26" s="367">
        <f t="shared" si="82"/>
        <v>6.1500000000000013E-2</v>
      </c>
    </row>
    <row r="27" spans="2:85" ht="14.4" x14ac:dyDescent="0.3">
      <c r="B27" s="372" t="s">
        <v>306</v>
      </c>
      <c r="C27" s="317">
        <f t="shared" ref="C27" si="83">IF(LEFT(INDEX($AT$3:$AT$51,MATCH($B27,$AJ$3:$AJ$51,0),1),1)="C",IF(VLOOKUP(State,Compact,3,FALSE)="Y",INT(MID(INDEX($AT$3:$AT$51,MATCH($B27,$AJ$3:$AJ$51,0),1),3,1)),IF(State="CA",INT(RIGHT(INDEX($AT$3:$AT$51,MATCH($B27,$AJ$3:$AJ$51,0),1),1)),INDEX($AU$3:$AU$51,MATCH($B27,$AJ$3:$AJ$51,0),1))),IF(AND(VLOOKUP(State,Compact,2,FALSE)="Y",INDEX($AT$3:$AT$51,MATCH($B27,$AJ$3:$AJ$51,0),1)&lt;&gt;"Standard",INDEX($AT$3:$AT$51,MATCH($B27,$AJ$3:$AJ$51,0),1)&lt;&gt;"Variable"),INT(RIGHT(INDEX($AT$3:$AT$51,MATCH($B27,$AJ$3:$AJ$51,0),1),1)),INDEX($AU$3:$AU$51,MATCH($B27,$AJ$3:$AJ$51,0),1)))</f>
        <v>2</v>
      </c>
      <c r="D27" s="319">
        <v>4</v>
      </c>
      <c r="E27" s="317">
        <f t="shared" ref="E27" si="84">IF(AND(INDEX($AW$3:$AW$51,MATCH($B27,$AJ$3:$AJ$51,0),1)&lt;&gt;"Standard",State="CA"),INT(RIGHT(INDEX($AW$3:$AW$51,MATCH($B27,$AJ$3:$AJ$51,0),1),1)),INDEX($AX$3:$AX$51,MATCH($B27,$AJ$3:$AJ$51,0),1))</f>
        <v>3</v>
      </c>
      <c r="F27" s="319">
        <v>1</v>
      </c>
      <c r="G27" s="319" t="s">
        <v>73</v>
      </c>
      <c r="H27" s="319">
        <v>8</v>
      </c>
      <c r="I27" s="319">
        <v>4</v>
      </c>
      <c r="J27" s="319">
        <v>3</v>
      </c>
      <c r="K27" s="319">
        <v>5</v>
      </c>
      <c r="L27" s="317" cm="1">
        <f t="array" ref="L27">INDEX($AO$3:$AP$51,MATCH($B27,$AJ$3:$AJ$51,0),INDEX($AJ$58:$AJ$63,MATCH(LivBen,$AI$58:$AI$63,0),1))</f>
        <v>0</v>
      </c>
      <c r="M27" s="319">
        <v>0</v>
      </c>
      <c r="N27" s="319">
        <v>1</v>
      </c>
      <c r="O27" s="319">
        <v>1</v>
      </c>
      <c r="P27" s="368">
        <v>1</v>
      </c>
      <c r="Q27" s="319">
        <v>1</v>
      </c>
      <c r="R27" s="319" t="s">
        <v>223</v>
      </c>
      <c r="S27" s="318" t="s">
        <v>223</v>
      </c>
      <c r="T27" s="319">
        <v>1</v>
      </c>
      <c r="U27" s="319">
        <v>1</v>
      </c>
      <c r="Y27" s="369" t="s">
        <v>328</v>
      </c>
      <c r="AA27" s="369" t="s">
        <v>329</v>
      </c>
      <c r="AG27" s="325" t="s">
        <v>307</v>
      </c>
      <c r="AH27" s="326" t="str">
        <f t="shared" si="64"/>
        <v>PoI5N</v>
      </c>
      <c r="AI27" s="326" t="s">
        <v>327</v>
      </c>
      <c r="AJ27" s="325" t="s">
        <v>311</v>
      </c>
      <c r="AK27" s="326" t="str">
        <f t="shared" si="65"/>
        <v>LIB</v>
      </c>
      <c r="AL27" s="326" t="s">
        <v>241</v>
      </c>
      <c r="AM27" s="327" t="s">
        <v>258</v>
      </c>
      <c r="AN27" s="328"/>
      <c r="AO27" s="329">
        <v>1</v>
      </c>
      <c r="AP27" s="329">
        <v>1</v>
      </c>
      <c r="AQ27" s="327" t="s">
        <v>79</v>
      </c>
      <c r="AR27" s="330"/>
      <c r="AS27" s="330"/>
      <c r="AT27" s="326" t="s">
        <v>83</v>
      </c>
      <c r="AU27" s="326">
        <v>3</v>
      </c>
      <c r="AV27" s="331"/>
      <c r="AW27" s="326" t="s">
        <v>83</v>
      </c>
      <c r="AX27" s="326">
        <v>3</v>
      </c>
      <c r="AY27" s="331"/>
      <c r="BC27" s="343">
        <v>69</v>
      </c>
      <c r="BD27" s="344">
        <f t="shared" si="10"/>
        <v>0</v>
      </c>
      <c r="BE27" s="345">
        <f t="shared" si="11"/>
        <v>0</v>
      </c>
      <c r="BF27" s="358">
        <f t="shared" ref="BF27" si="85">IF(OR($BC$2="None",RIGHT(Category,2)&lt;&gt;"NY"),$BG27,INDEX($CF$7:$CG$39,MATCH($BC27,$BC$7:$BC$39,0),MATCH($BC$2,$CF$6:$CG$6,0)))</f>
        <v>0</v>
      </c>
      <c r="BG27" s="347">
        <v>0</v>
      </c>
      <c r="BH27" s="348">
        <f t="shared" si="73"/>
        <v>7.4999999999999997E-2</v>
      </c>
      <c r="BI27" s="349">
        <f t="shared" si="73"/>
        <v>7.0000000000000007E-2</v>
      </c>
      <c r="BJ27" s="348">
        <f t="shared" si="73"/>
        <v>0.09</v>
      </c>
      <c r="BK27" s="349">
        <f t="shared" si="73"/>
        <v>8.5000000000000006E-2</v>
      </c>
      <c r="BL27" s="348">
        <f t="shared" si="73"/>
        <v>7.1999999999999995E-2</v>
      </c>
      <c r="BM27" s="349">
        <f t="shared" si="73"/>
        <v>6.7000000000000004E-2</v>
      </c>
      <c r="BN27" s="348">
        <f t="shared" si="73"/>
        <v>6.7500000000000004E-2</v>
      </c>
      <c r="BO27" s="349">
        <f t="shared" si="73"/>
        <v>6.25E-2</v>
      </c>
      <c r="BP27" s="348">
        <f t="shared" si="73"/>
        <v>7.4499999999999997E-2</v>
      </c>
      <c r="BQ27" s="349">
        <f t="shared" si="73"/>
        <v>6.9500000000000006E-2</v>
      </c>
      <c r="BR27" s="348">
        <f t="shared" si="73"/>
        <v>7.0000000000000007E-2</v>
      </c>
      <c r="BS27" s="349">
        <f t="shared" si="73"/>
        <v>6.5000000000000002E-2</v>
      </c>
      <c r="BT27" s="348">
        <f t="shared" si="74"/>
        <v>8.0000000000000016E-2</v>
      </c>
      <c r="BU27" s="349">
        <f t="shared" si="74"/>
        <v>7.5000000000000025E-2</v>
      </c>
      <c r="BV27" s="348">
        <f t="shared" si="74"/>
        <v>7.4000000000000024E-2</v>
      </c>
      <c r="BW27" s="349">
        <f t="shared" si="74"/>
        <v>6.900000000000002E-2</v>
      </c>
      <c r="BX27" s="348">
        <f t="shared" si="74"/>
        <v>8.2500000000000018E-2</v>
      </c>
      <c r="BY27" s="349">
        <f t="shared" si="74"/>
        <v>7.7500000000000013E-2</v>
      </c>
      <c r="BZ27" s="348">
        <f t="shared" si="74"/>
        <v>7.6500000000000026E-2</v>
      </c>
      <c r="CA27" s="349">
        <f t="shared" si="74"/>
        <v>7.1500000000000022E-2</v>
      </c>
      <c r="CB27" s="350">
        <f t="shared" si="75"/>
        <v>7.4999999999999997E-2</v>
      </c>
      <c r="CC27" s="351">
        <f t="shared" si="75"/>
        <v>7.0000000000000007E-2</v>
      </c>
      <c r="CD27" s="350">
        <f t="shared" si="75"/>
        <v>0.06</v>
      </c>
      <c r="CE27" s="351">
        <f t="shared" si="75"/>
        <v>5.5E-2</v>
      </c>
      <c r="CF27" s="366">
        <f t="shared" si="82"/>
        <v>6.7000000000000018E-2</v>
      </c>
      <c r="CG27" s="367">
        <f t="shared" si="82"/>
        <v>6.2000000000000013E-2</v>
      </c>
    </row>
    <row r="28" spans="2:85" ht="14.4" x14ac:dyDescent="0.3">
      <c r="B28" s="372" t="s">
        <v>228</v>
      </c>
      <c r="C28" s="317">
        <f t="shared" ref="C28" si="86">IF(LEFT(INDEX($AT$3:$AT$51,MATCH($B28,$AJ$3:$AJ$51,0),1),1)="C",IF(VLOOKUP(State,Compact,3,FALSE)="Y",INT(MID(INDEX($AT$3:$AT$51,MATCH($B28,$AJ$3:$AJ$51,0),1),3,1)),IF(State="CA",INT(RIGHT(INDEX($AT$3:$AT$51,MATCH($B28,$AJ$3:$AJ$51,0),1),1)),INDEX($AU$3:$AU$51,MATCH($B28,$AJ$3:$AJ$51,0),1))),IF(AND(VLOOKUP(State,Compact,2,FALSE)="Y",INDEX($AT$3:$AT$51,MATCH($B28,$AJ$3:$AJ$51,0),1)&lt;&gt;"Standard",INDEX($AT$3:$AT$51,MATCH($B28,$AJ$3:$AJ$51,0),1)&lt;&gt;"Variable"),INT(RIGHT(INDEX($AT$3:$AT$51,MATCH($B28,$AJ$3:$AJ$51,0),1),1)),INDEX($AU$3:$AU$51,MATCH($B28,$AJ$3:$AJ$51,0),1)))</f>
        <v>4</v>
      </c>
      <c r="D28" s="319">
        <v>4</v>
      </c>
      <c r="E28" s="317">
        <f t="shared" ref="E28" si="87">IF(AND(INDEX($AW$3:$AW$51,MATCH($B28,$AJ$3:$AJ$51,0),1)&lt;&gt;"Standard",State="CA"),INT(RIGHT(INDEX($AW$3:$AW$51,MATCH($B28,$AJ$3:$AJ$51,0),1),1)),INDEX($AX$3:$AX$51,MATCH($B28,$AJ$3:$AJ$51,0),1))</f>
        <v>3</v>
      </c>
      <c r="F28" s="319">
        <v>1</v>
      </c>
      <c r="G28" s="319" t="s">
        <v>73</v>
      </c>
      <c r="H28" s="319">
        <v>8</v>
      </c>
      <c r="I28" s="319">
        <v>4</v>
      </c>
      <c r="J28" s="319">
        <v>3</v>
      </c>
      <c r="K28" s="319">
        <v>5</v>
      </c>
      <c r="L28" s="317" cm="1">
        <f t="array" ref="L28">INDEX($AO$3:$AP$51,MATCH($B28,$AJ$3:$AJ$51,0),INDEX($AJ$58:$AJ$63,MATCH(LivBen,$AI$58:$AI$63,0),1))</f>
        <v>0</v>
      </c>
      <c r="M28" s="319">
        <v>0</v>
      </c>
      <c r="N28" s="319">
        <v>1</v>
      </c>
      <c r="O28" s="319">
        <v>1</v>
      </c>
      <c r="P28" s="368">
        <v>1</v>
      </c>
      <c r="Q28" s="319">
        <v>1</v>
      </c>
      <c r="R28" s="319" t="s">
        <v>223</v>
      </c>
      <c r="S28" s="318" t="s">
        <v>223</v>
      </c>
      <c r="T28" s="319">
        <v>1</v>
      </c>
      <c r="U28" s="319">
        <v>1</v>
      </c>
      <c r="Y28" s="370" t="s">
        <v>241</v>
      </c>
      <c r="AA28" s="370" t="s">
        <v>83</v>
      </c>
      <c r="AG28" s="325" t="s">
        <v>330</v>
      </c>
      <c r="AH28" s="326" t="str">
        <f t="shared" si="64"/>
        <v>PoIPN</v>
      </c>
      <c r="AI28" s="326" t="s">
        <v>327</v>
      </c>
      <c r="AJ28" s="325" t="s">
        <v>330</v>
      </c>
      <c r="AK28" s="326" t="str">
        <f t="shared" si="65"/>
        <v>None</v>
      </c>
      <c r="AL28" s="326" t="s">
        <v>73</v>
      </c>
      <c r="AM28" s="327" t="s">
        <v>79</v>
      </c>
      <c r="AN28" s="328"/>
      <c r="AO28" s="329"/>
      <c r="AP28" s="329"/>
      <c r="AQ28" s="327" t="s">
        <v>79</v>
      </c>
      <c r="AR28" s="330"/>
      <c r="AS28" s="330"/>
      <c r="AT28" s="326" t="s">
        <v>83</v>
      </c>
      <c r="AU28" s="326">
        <v>7</v>
      </c>
      <c r="AV28" s="331"/>
      <c r="AW28" s="326" t="s">
        <v>83</v>
      </c>
      <c r="AX28" s="326">
        <v>3</v>
      </c>
      <c r="AY28" s="331"/>
      <c r="BC28" s="343">
        <v>70</v>
      </c>
      <c r="BD28" s="344">
        <f t="shared" si="10"/>
        <v>0</v>
      </c>
      <c r="BE28" s="345">
        <f t="shared" si="11"/>
        <v>0</v>
      </c>
      <c r="BF28" s="358">
        <f t="shared" ref="BF28" si="88">IF(OR($BC$2="None",RIGHT(Category,2)&lt;&gt;"NY"),$BG28,INDEX($CF$7:$CG$39,MATCH($BC28,$BC$7:$BC$39,0),MATCH($BC$2,$CF$6:$CG$6,0)))</f>
        <v>0</v>
      </c>
      <c r="BG28" s="347">
        <v>0</v>
      </c>
      <c r="BH28" s="359">
        <v>0.08</v>
      </c>
      <c r="BI28" s="360">
        <v>7.4999999999999997E-2</v>
      </c>
      <c r="BJ28" s="359">
        <v>0.1</v>
      </c>
      <c r="BK28" s="360">
        <v>9.5000000000000001E-2</v>
      </c>
      <c r="BL28" s="359">
        <v>7.5999999999999998E-2</v>
      </c>
      <c r="BM28" s="360">
        <v>7.0999999999999994E-2</v>
      </c>
      <c r="BN28" s="359">
        <v>7.1499999999999994E-2</v>
      </c>
      <c r="BO28" s="360">
        <v>6.6500000000000004E-2</v>
      </c>
      <c r="BP28" s="359">
        <v>7.85E-2</v>
      </c>
      <c r="BQ28" s="360">
        <v>7.3499999999999996E-2</v>
      </c>
      <c r="BR28" s="359">
        <v>7.3999999999999996E-2</v>
      </c>
      <c r="BS28" s="360">
        <v>6.9000000000000006E-2</v>
      </c>
      <c r="BT28" s="348">
        <f t="shared" si="74"/>
        <v>8.1000000000000016E-2</v>
      </c>
      <c r="BU28" s="349">
        <f t="shared" si="74"/>
        <v>7.6000000000000026E-2</v>
      </c>
      <c r="BV28" s="348">
        <f t="shared" si="74"/>
        <v>7.5000000000000025E-2</v>
      </c>
      <c r="BW28" s="349">
        <f t="shared" si="74"/>
        <v>7.0000000000000021E-2</v>
      </c>
      <c r="BX28" s="348">
        <f t="shared" si="74"/>
        <v>8.3500000000000019E-2</v>
      </c>
      <c r="BY28" s="349">
        <f t="shared" si="74"/>
        <v>7.8500000000000014E-2</v>
      </c>
      <c r="BZ28" s="348">
        <f t="shared" si="74"/>
        <v>7.7500000000000027E-2</v>
      </c>
      <c r="CA28" s="349">
        <f t="shared" si="74"/>
        <v>7.2500000000000023E-2</v>
      </c>
      <c r="CB28" s="361">
        <v>0.08</v>
      </c>
      <c r="CC28" s="362">
        <v>7.4999999999999997E-2</v>
      </c>
      <c r="CD28" s="361">
        <v>0.06</v>
      </c>
      <c r="CE28" s="362">
        <v>5.5E-2</v>
      </c>
      <c r="CF28" s="366">
        <f t="shared" si="82"/>
        <v>6.7500000000000018E-2</v>
      </c>
      <c r="CG28" s="367">
        <f t="shared" si="82"/>
        <v>6.2500000000000014E-2</v>
      </c>
    </row>
    <row r="29" spans="2:85" ht="14.4" x14ac:dyDescent="0.3">
      <c r="B29" s="316" t="s">
        <v>320</v>
      </c>
      <c r="C29" s="317">
        <f t="shared" ref="C29" si="89">IF(LEFT(INDEX($AT$3:$AT$51,MATCH($B29,$AJ$3:$AJ$51,0),1),1)="C",IF(VLOOKUP(State,Compact,3,FALSE)="Y",INT(MID(INDEX($AT$3:$AT$51,MATCH($B29,$AJ$3:$AJ$51,0),1),3,1)),IF(State="CA",INT(RIGHT(INDEX($AT$3:$AT$51,MATCH($B29,$AJ$3:$AJ$51,0),1),1)),INDEX($AU$3:$AU$51,MATCH($B29,$AJ$3:$AJ$51,0),1))),IF(AND(VLOOKUP(State,Compact,2,FALSE)="Y",INDEX($AT$3:$AT$51,MATCH($B29,$AJ$3:$AJ$51,0),1)&lt;&gt;"Standard",INDEX($AT$3:$AT$51,MATCH($B29,$AJ$3:$AJ$51,0),1)&lt;&gt;"Variable"),INT(RIGHT(INDEX($AT$3:$AT$51,MATCH($B29,$AJ$3:$AJ$51,0),1),1)),INDEX($AU$3:$AU$51,MATCH($B29,$AJ$3:$AJ$51,0),1)))</f>
        <v>4</v>
      </c>
      <c r="D29" s="319">
        <v>4</v>
      </c>
      <c r="E29" s="317">
        <f t="shared" ref="E29" si="90">IF(AND(INDEX($AW$3:$AW$51,MATCH($B29,$AJ$3:$AJ$51,0),1)&lt;&gt;"Standard",State="CA"),INT(RIGHT(INDEX($AW$3:$AW$51,MATCH($B29,$AJ$3:$AJ$51,0),1),1)),INDEX($AX$3:$AX$51,MATCH($B29,$AJ$3:$AJ$51,0),1))</f>
        <v>3</v>
      </c>
      <c r="F29" s="319">
        <v>1</v>
      </c>
      <c r="G29" s="319" t="s">
        <v>241</v>
      </c>
      <c r="H29" s="319">
        <v>7</v>
      </c>
      <c r="I29" s="319">
        <v>2</v>
      </c>
      <c r="J29" s="319">
        <v>3</v>
      </c>
      <c r="K29" s="319">
        <v>5</v>
      </c>
      <c r="L29" s="317" cm="1">
        <f t="array" ref="L29">INDEX($AO$3:$AP$51,MATCH($B29,$AJ$3:$AJ$51,0),INDEX($AJ$58:$AJ$63,MATCH(LivBen,$AI$58:$AI$63,0),1))</f>
        <v>5</v>
      </c>
      <c r="M29" s="319">
        <v>0</v>
      </c>
      <c r="N29" s="319">
        <v>1</v>
      </c>
      <c r="O29" s="319">
        <v>1</v>
      </c>
      <c r="P29" s="368">
        <v>1</v>
      </c>
      <c r="Q29" s="319">
        <v>1</v>
      </c>
      <c r="R29" s="319" t="s">
        <v>223</v>
      </c>
      <c r="S29" s="318" t="s">
        <v>223</v>
      </c>
      <c r="T29" s="319">
        <v>1</v>
      </c>
      <c r="U29" s="319">
        <v>1</v>
      </c>
      <c r="Y29" s="371" t="s">
        <v>73</v>
      </c>
      <c r="AA29" s="371" t="s">
        <v>331</v>
      </c>
      <c r="AG29" s="325" t="s">
        <v>330</v>
      </c>
      <c r="AH29" s="326" t="str">
        <f t="shared" si="64"/>
        <v>PoIPN</v>
      </c>
      <c r="AI29" s="326" t="s">
        <v>327</v>
      </c>
      <c r="AJ29" s="325" t="s">
        <v>332</v>
      </c>
      <c r="AK29" s="326" t="str">
        <f t="shared" si="65"/>
        <v>LIB</v>
      </c>
      <c r="AL29" s="326" t="s">
        <v>241</v>
      </c>
      <c r="AM29" s="327" t="s">
        <v>258</v>
      </c>
      <c r="AN29" s="328"/>
      <c r="AO29" s="329">
        <v>1</v>
      </c>
      <c r="AP29" s="329">
        <v>1</v>
      </c>
      <c r="AQ29" s="327" t="s">
        <v>79</v>
      </c>
      <c r="AR29" s="330"/>
      <c r="AS29" s="330"/>
      <c r="AT29" s="326" t="s">
        <v>83</v>
      </c>
      <c r="AU29" s="326">
        <v>7</v>
      </c>
      <c r="AV29" s="331"/>
      <c r="AW29" s="326" t="s">
        <v>83</v>
      </c>
      <c r="AX29" s="326">
        <v>3</v>
      </c>
      <c r="AY29" s="331"/>
      <c r="BC29" s="343">
        <v>71</v>
      </c>
      <c r="BD29" s="344">
        <f t="shared" si="10"/>
        <v>0</v>
      </c>
      <c r="BE29" s="345">
        <f t="shared" si="11"/>
        <v>0</v>
      </c>
      <c r="BF29" s="358">
        <f t="shared" ref="BF29" si="91">IF(OR($BC$2="None",RIGHT(Category,2)&lt;&gt;"NY"),$BG29,INDEX($CF$7:$CG$39,MATCH($BC29,$BC$7:$BC$39,0),MATCH($BC$2,$CF$6:$CG$6,0)))</f>
        <v>0</v>
      </c>
      <c r="BG29" s="347">
        <v>0</v>
      </c>
      <c r="BH29" s="348">
        <f t="shared" ref="BH29:BS32" si="92">BH28</f>
        <v>0.08</v>
      </c>
      <c r="BI29" s="349">
        <f t="shared" si="92"/>
        <v>7.4999999999999997E-2</v>
      </c>
      <c r="BJ29" s="348">
        <f t="shared" si="92"/>
        <v>0.1</v>
      </c>
      <c r="BK29" s="349">
        <f t="shared" si="92"/>
        <v>9.5000000000000001E-2</v>
      </c>
      <c r="BL29" s="348">
        <f t="shared" si="92"/>
        <v>7.5999999999999998E-2</v>
      </c>
      <c r="BM29" s="349">
        <f t="shared" si="92"/>
        <v>7.0999999999999994E-2</v>
      </c>
      <c r="BN29" s="348">
        <f t="shared" si="92"/>
        <v>7.1499999999999994E-2</v>
      </c>
      <c r="BO29" s="349">
        <f t="shared" si="92"/>
        <v>6.6500000000000004E-2</v>
      </c>
      <c r="BP29" s="348">
        <f t="shared" si="92"/>
        <v>7.85E-2</v>
      </c>
      <c r="BQ29" s="349">
        <f t="shared" si="92"/>
        <v>7.3499999999999996E-2</v>
      </c>
      <c r="BR29" s="348">
        <f t="shared" si="92"/>
        <v>7.3999999999999996E-2</v>
      </c>
      <c r="BS29" s="349">
        <f t="shared" si="92"/>
        <v>6.9000000000000006E-2</v>
      </c>
      <c r="BT29" s="348">
        <f t="shared" si="74"/>
        <v>8.2000000000000017E-2</v>
      </c>
      <c r="BU29" s="349">
        <f t="shared" si="74"/>
        <v>7.7000000000000027E-2</v>
      </c>
      <c r="BV29" s="348">
        <f t="shared" si="74"/>
        <v>7.6000000000000026E-2</v>
      </c>
      <c r="BW29" s="349">
        <f t="shared" si="74"/>
        <v>7.1000000000000021E-2</v>
      </c>
      <c r="BX29" s="348">
        <f t="shared" si="74"/>
        <v>8.450000000000002E-2</v>
      </c>
      <c r="BY29" s="349">
        <f t="shared" si="74"/>
        <v>7.9500000000000015E-2</v>
      </c>
      <c r="BZ29" s="348">
        <f t="shared" si="74"/>
        <v>7.8500000000000028E-2</v>
      </c>
      <c r="CA29" s="349">
        <f t="shared" si="74"/>
        <v>7.3500000000000024E-2</v>
      </c>
      <c r="CB29" s="350">
        <f t="shared" ref="CB29:CE32" si="93">CB28</f>
        <v>0.08</v>
      </c>
      <c r="CC29" s="351">
        <f t="shared" si="93"/>
        <v>7.4999999999999997E-2</v>
      </c>
      <c r="CD29" s="350">
        <f t="shared" si="93"/>
        <v>0.06</v>
      </c>
      <c r="CE29" s="351">
        <f t="shared" si="93"/>
        <v>5.5E-2</v>
      </c>
      <c r="CF29" s="366">
        <f t="shared" si="82"/>
        <v>6.8000000000000019E-2</v>
      </c>
      <c r="CG29" s="367">
        <f t="shared" si="82"/>
        <v>6.3000000000000014E-2</v>
      </c>
    </row>
    <row r="30" spans="2:85" ht="14.4" x14ac:dyDescent="0.3">
      <c r="B30" s="372" t="s">
        <v>310</v>
      </c>
      <c r="C30" s="317">
        <f t="shared" ref="C30" si="94">IF(LEFT(INDEX($AT$3:$AT$51,MATCH($B30,$AJ$3:$AJ$51,0),1),1)="C",IF(VLOOKUP(State,Compact,3,FALSE)="Y",INT(MID(INDEX($AT$3:$AT$51,MATCH($B30,$AJ$3:$AJ$51,0),1),3,1)),IF(State="CA",INT(RIGHT(INDEX($AT$3:$AT$51,MATCH($B30,$AJ$3:$AJ$51,0),1),1)),INDEX($AU$3:$AU$51,MATCH($B30,$AJ$3:$AJ$51,0),1))),IF(AND(VLOOKUP(State,Compact,2,FALSE)="Y",INDEX($AT$3:$AT$51,MATCH($B30,$AJ$3:$AJ$51,0),1)&lt;&gt;"Standard",INDEX($AT$3:$AT$51,MATCH($B30,$AJ$3:$AJ$51,0),1)&lt;&gt;"Variable"),INT(RIGHT(INDEX($AT$3:$AT$51,MATCH($B30,$AJ$3:$AJ$51,0),1),1)),INDEX($AU$3:$AU$51,MATCH($B30,$AJ$3:$AJ$51,0),1)))</f>
        <v>2</v>
      </c>
      <c r="D30" s="319">
        <v>4</v>
      </c>
      <c r="E30" s="317">
        <f t="shared" ref="E30" si="95">IF(AND(INDEX($AW$3:$AW$51,MATCH($B30,$AJ$3:$AJ$51,0),1)&lt;&gt;"Standard",State="CA"),INT(RIGHT(INDEX($AW$3:$AW$51,MATCH($B30,$AJ$3:$AJ$51,0),1),1)),INDEX($AX$3:$AX$51,MATCH($B30,$AJ$3:$AJ$51,0),1))</f>
        <v>3</v>
      </c>
      <c r="F30" s="319">
        <v>1</v>
      </c>
      <c r="G30" s="319" t="s">
        <v>241</v>
      </c>
      <c r="H30" s="319">
        <v>7</v>
      </c>
      <c r="I30" s="319">
        <v>2</v>
      </c>
      <c r="J30" s="319">
        <v>3</v>
      </c>
      <c r="K30" s="319">
        <v>5</v>
      </c>
      <c r="L30" s="317" cm="1">
        <f t="array" ref="L30">INDEX($AO$3:$AP$51,MATCH($B30,$AJ$3:$AJ$51,0),INDEX($AJ$58:$AJ$63,MATCH(LivBen,$AI$58:$AI$63,0),1))</f>
        <v>3</v>
      </c>
      <c r="M30" s="319">
        <v>0</v>
      </c>
      <c r="N30" s="319">
        <v>1</v>
      </c>
      <c r="O30" s="319">
        <v>1</v>
      </c>
      <c r="P30" s="368">
        <v>1</v>
      </c>
      <c r="Q30" s="319">
        <v>1</v>
      </c>
      <c r="R30" s="319" t="s">
        <v>223</v>
      </c>
      <c r="S30" s="318" t="s">
        <v>223</v>
      </c>
      <c r="T30" s="319">
        <v>1</v>
      </c>
      <c r="U30" s="319">
        <v>1</v>
      </c>
      <c r="AG30" s="336" t="s">
        <v>333</v>
      </c>
      <c r="AH30" s="337" t="str">
        <f t="shared" si="64"/>
        <v>PoSS</v>
      </c>
      <c r="AI30" s="337" t="s">
        <v>334</v>
      </c>
      <c r="AJ30" s="336" t="s">
        <v>335</v>
      </c>
      <c r="AK30" s="337" t="str">
        <f t="shared" si="65"/>
        <v>None</v>
      </c>
      <c r="AL30" s="337" t="s">
        <v>73</v>
      </c>
      <c r="AM30" s="338" t="s">
        <v>79</v>
      </c>
      <c r="AN30" s="339"/>
      <c r="AO30" s="340"/>
      <c r="AP30" s="340"/>
      <c r="AQ30" s="338" t="s">
        <v>79</v>
      </c>
      <c r="AR30" s="341"/>
      <c r="AS30" s="341"/>
      <c r="AT30" s="337" t="s">
        <v>265</v>
      </c>
      <c r="AU30" s="337">
        <v>1</v>
      </c>
      <c r="AV30" s="342" t="s">
        <v>266</v>
      </c>
      <c r="AW30" s="337" t="s">
        <v>83</v>
      </c>
      <c r="AX30" s="337">
        <v>2</v>
      </c>
      <c r="AY30" s="342"/>
      <c r="BC30" s="343">
        <v>72</v>
      </c>
      <c r="BD30" s="344">
        <f t="shared" si="10"/>
        <v>0</v>
      </c>
      <c r="BE30" s="345">
        <f t="shared" si="11"/>
        <v>0</v>
      </c>
      <c r="BF30" s="358">
        <f t="shared" ref="BF30" si="96">IF(OR($BC$2="None",RIGHT(Category,2)&lt;&gt;"NY"),$BG30,INDEX($CF$7:$CG$39,MATCH($BC30,$BC$7:$BC$39,0),MATCH($BC$2,$CF$6:$CG$6,0)))</f>
        <v>0</v>
      </c>
      <c r="BG30" s="347">
        <v>0</v>
      </c>
      <c r="BH30" s="348">
        <f t="shared" si="92"/>
        <v>0.08</v>
      </c>
      <c r="BI30" s="349">
        <f t="shared" si="92"/>
        <v>7.4999999999999997E-2</v>
      </c>
      <c r="BJ30" s="348">
        <f t="shared" si="92"/>
        <v>0.1</v>
      </c>
      <c r="BK30" s="349">
        <f t="shared" si="92"/>
        <v>9.5000000000000001E-2</v>
      </c>
      <c r="BL30" s="359">
        <v>7.8E-2</v>
      </c>
      <c r="BM30" s="360">
        <v>7.2999999999999995E-2</v>
      </c>
      <c r="BN30" s="359">
        <v>7.3499999999999996E-2</v>
      </c>
      <c r="BO30" s="360">
        <v>6.8500000000000005E-2</v>
      </c>
      <c r="BP30" s="359">
        <v>8.0500000000000002E-2</v>
      </c>
      <c r="BQ30" s="360">
        <v>7.5499999999999998E-2</v>
      </c>
      <c r="BR30" s="359">
        <v>7.5999999999999998E-2</v>
      </c>
      <c r="BS30" s="360">
        <v>7.0999999999999994E-2</v>
      </c>
      <c r="BT30" s="348">
        <f t="shared" si="74"/>
        <v>8.3000000000000018E-2</v>
      </c>
      <c r="BU30" s="349">
        <f t="shared" si="74"/>
        <v>7.8000000000000028E-2</v>
      </c>
      <c r="BV30" s="348">
        <f t="shared" si="74"/>
        <v>7.7000000000000027E-2</v>
      </c>
      <c r="BW30" s="349">
        <f t="shared" si="74"/>
        <v>7.2000000000000022E-2</v>
      </c>
      <c r="BX30" s="348">
        <f t="shared" si="74"/>
        <v>8.550000000000002E-2</v>
      </c>
      <c r="BY30" s="349">
        <f t="shared" si="74"/>
        <v>8.0500000000000016E-2</v>
      </c>
      <c r="BZ30" s="348">
        <f t="shared" si="74"/>
        <v>7.9500000000000029E-2</v>
      </c>
      <c r="CA30" s="349">
        <f t="shared" si="74"/>
        <v>7.4500000000000025E-2</v>
      </c>
      <c r="CB30" s="350">
        <f t="shared" si="93"/>
        <v>0.08</v>
      </c>
      <c r="CC30" s="351">
        <f t="shared" si="93"/>
        <v>7.4999999999999997E-2</v>
      </c>
      <c r="CD30" s="350">
        <f t="shared" si="93"/>
        <v>0.06</v>
      </c>
      <c r="CE30" s="351">
        <f t="shared" si="93"/>
        <v>5.5E-2</v>
      </c>
      <c r="CF30" s="366">
        <f>CF29+0.0005</f>
        <v>6.8500000000000019E-2</v>
      </c>
      <c r="CG30" s="367">
        <f>CG29+0.0005</f>
        <v>6.3500000000000015E-2</v>
      </c>
    </row>
    <row r="31" spans="2:85" ht="14.4" x14ac:dyDescent="0.3">
      <c r="B31" s="316" t="s">
        <v>77</v>
      </c>
      <c r="C31" s="317">
        <f t="shared" ref="C31" si="97">IF(LEFT(INDEX($AT$3:$AT$51,MATCH($B31,$AJ$3:$AJ$51,0),1),1)="C",IF(VLOOKUP(State,Compact,3,FALSE)="Y",INT(MID(INDEX($AT$3:$AT$51,MATCH($B31,$AJ$3:$AJ$51,0),1),3,1)),IF(State="CA",INT(RIGHT(INDEX($AT$3:$AT$51,MATCH($B31,$AJ$3:$AJ$51,0),1),1)),INDEX($AU$3:$AU$51,MATCH($B31,$AJ$3:$AJ$51,0),1))),IF(AND(VLOOKUP(State,Compact,2,FALSE)="Y",INDEX($AT$3:$AT$51,MATCH($B31,$AJ$3:$AJ$51,0),1)&lt;&gt;"Standard",INDEX($AT$3:$AT$51,MATCH($B31,$AJ$3:$AJ$51,0),1)&lt;&gt;"Variable"),INT(RIGHT(INDEX($AT$3:$AT$51,MATCH($B31,$AJ$3:$AJ$51,0),1),1)),INDEX($AU$3:$AU$51,MATCH($B31,$AJ$3:$AJ$51,0),1)))</f>
        <v>2</v>
      </c>
      <c r="D31" s="319">
        <v>4</v>
      </c>
      <c r="E31" s="317">
        <f t="shared" ref="E31" si="98">IF(AND(INDEX($AW$3:$AW$51,MATCH($B31,$AJ$3:$AJ$51,0),1)&lt;&gt;"Standard",State="CA"),INT(RIGHT(INDEX($AW$3:$AW$51,MATCH($B31,$AJ$3:$AJ$51,0),1),1)),INDEX($AX$3:$AX$51,MATCH($B31,$AJ$3:$AJ$51,0),1))</f>
        <v>3</v>
      </c>
      <c r="F31" s="319">
        <v>1</v>
      </c>
      <c r="G31" s="319" t="s">
        <v>73</v>
      </c>
      <c r="H31" s="319">
        <v>8</v>
      </c>
      <c r="I31" s="319">
        <v>4</v>
      </c>
      <c r="J31" s="319">
        <v>3</v>
      </c>
      <c r="K31" s="319">
        <v>5</v>
      </c>
      <c r="L31" s="317" cm="1">
        <f t="array" ref="L31">INDEX($AO$3:$AP$51,MATCH($B31,$AJ$3:$AJ$51,0),INDEX($AJ$58:$AJ$63,MATCH(LivBen,$AI$58:$AI$63,0),1))</f>
        <v>0</v>
      </c>
      <c r="M31" s="319">
        <v>0</v>
      </c>
      <c r="N31" s="319">
        <v>1</v>
      </c>
      <c r="O31" s="319">
        <v>1</v>
      </c>
      <c r="P31" s="368">
        <v>1</v>
      </c>
      <c r="Q31" s="319">
        <v>1</v>
      </c>
      <c r="R31" s="319" t="s">
        <v>223</v>
      </c>
      <c r="S31" s="318" t="s">
        <v>282</v>
      </c>
      <c r="T31" s="319">
        <v>1</v>
      </c>
      <c r="U31" s="319">
        <v>1</v>
      </c>
      <c r="Y31" s="369" t="s">
        <v>31</v>
      </c>
      <c r="AA31" s="369" t="s">
        <v>120</v>
      </c>
      <c r="AG31" s="336" t="s">
        <v>333</v>
      </c>
      <c r="AH31" s="337" t="str">
        <f t="shared" si="64"/>
        <v>PoSS</v>
      </c>
      <c r="AI31" s="337" t="s">
        <v>334</v>
      </c>
      <c r="AJ31" s="336" t="s">
        <v>336</v>
      </c>
      <c r="AK31" s="337" t="str">
        <f t="shared" si="65"/>
        <v>None</v>
      </c>
      <c r="AL31" s="337" t="s">
        <v>73</v>
      </c>
      <c r="AM31" s="338" t="s">
        <v>79</v>
      </c>
      <c r="AN31" s="339"/>
      <c r="AO31" s="340"/>
      <c r="AP31" s="340"/>
      <c r="AQ31" s="338" t="s">
        <v>79</v>
      </c>
      <c r="AR31" s="341"/>
      <c r="AS31" s="341"/>
      <c r="AT31" s="337" t="s">
        <v>83</v>
      </c>
      <c r="AU31" s="337">
        <v>5</v>
      </c>
      <c r="AV31" s="342"/>
      <c r="AW31" s="337" t="s">
        <v>83</v>
      </c>
      <c r="AX31" s="337">
        <v>4</v>
      </c>
      <c r="AY31" s="342"/>
      <c r="BC31" s="343">
        <v>73</v>
      </c>
      <c r="BD31" s="344">
        <f t="shared" si="10"/>
        <v>0</v>
      </c>
      <c r="BE31" s="345">
        <f t="shared" si="11"/>
        <v>0</v>
      </c>
      <c r="BF31" s="358">
        <f t="shared" ref="BF31" si="99">IF(OR($BC$2="None",RIGHT(Category,2)&lt;&gt;"NY"),$BG31,INDEX($CF$7:$CG$39,MATCH($BC31,$BC$7:$BC$39,0),MATCH($BC$2,$CF$6:$CG$6,0)))</f>
        <v>0</v>
      </c>
      <c r="BG31" s="347">
        <v>0</v>
      </c>
      <c r="BH31" s="348">
        <f t="shared" si="92"/>
        <v>0.08</v>
      </c>
      <c r="BI31" s="349">
        <f t="shared" si="92"/>
        <v>7.4999999999999997E-2</v>
      </c>
      <c r="BJ31" s="348">
        <f t="shared" si="92"/>
        <v>0.1</v>
      </c>
      <c r="BK31" s="349">
        <f t="shared" si="92"/>
        <v>9.5000000000000001E-2</v>
      </c>
      <c r="BL31" s="348">
        <f t="shared" si="92"/>
        <v>7.8E-2</v>
      </c>
      <c r="BM31" s="349">
        <f t="shared" si="92"/>
        <v>7.2999999999999995E-2</v>
      </c>
      <c r="BN31" s="348">
        <f t="shared" si="92"/>
        <v>7.3499999999999996E-2</v>
      </c>
      <c r="BO31" s="349">
        <f t="shared" si="92"/>
        <v>6.8500000000000005E-2</v>
      </c>
      <c r="BP31" s="348">
        <f t="shared" si="92"/>
        <v>8.0500000000000002E-2</v>
      </c>
      <c r="BQ31" s="349">
        <f t="shared" si="92"/>
        <v>7.5499999999999998E-2</v>
      </c>
      <c r="BR31" s="348">
        <f t="shared" si="92"/>
        <v>7.5999999999999998E-2</v>
      </c>
      <c r="BS31" s="349">
        <f t="shared" si="92"/>
        <v>7.0999999999999994E-2</v>
      </c>
      <c r="BT31" s="348">
        <f t="shared" si="74"/>
        <v>8.4000000000000019E-2</v>
      </c>
      <c r="BU31" s="349">
        <f t="shared" si="74"/>
        <v>7.9000000000000029E-2</v>
      </c>
      <c r="BV31" s="348">
        <f t="shared" si="74"/>
        <v>7.8000000000000028E-2</v>
      </c>
      <c r="BW31" s="349">
        <f t="shared" si="74"/>
        <v>7.3000000000000023E-2</v>
      </c>
      <c r="BX31" s="348">
        <f t="shared" si="74"/>
        <v>8.6500000000000021E-2</v>
      </c>
      <c r="BY31" s="349">
        <f t="shared" si="74"/>
        <v>8.1500000000000017E-2</v>
      </c>
      <c r="BZ31" s="348">
        <f t="shared" si="74"/>
        <v>8.050000000000003E-2</v>
      </c>
      <c r="CA31" s="349">
        <f t="shared" si="74"/>
        <v>7.5500000000000025E-2</v>
      </c>
      <c r="CB31" s="350">
        <f t="shared" si="93"/>
        <v>0.08</v>
      </c>
      <c r="CC31" s="351">
        <f t="shared" si="93"/>
        <v>7.4999999999999997E-2</v>
      </c>
      <c r="CD31" s="350">
        <f t="shared" si="93"/>
        <v>0.06</v>
      </c>
      <c r="CE31" s="351">
        <f t="shared" si="93"/>
        <v>5.5E-2</v>
      </c>
      <c r="CF31" s="366">
        <f>CF30+0.001</f>
        <v>6.950000000000002E-2</v>
      </c>
      <c r="CG31" s="367">
        <f>CG30+0.001</f>
        <v>6.4500000000000016E-2</v>
      </c>
    </row>
    <row r="32" spans="2:85" ht="14.4" x14ac:dyDescent="0.3">
      <c r="B32" s="316" t="s">
        <v>314</v>
      </c>
      <c r="C32" s="317">
        <f t="shared" ref="C32" si="100">IF(LEFT(INDEX($AT$3:$AT$51,MATCH($B32,$AJ$3:$AJ$51,0),1),1)="C",IF(VLOOKUP(State,Compact,3,FALSE)="Y",INT(MID(INDEX($AT$3:$AT$51,MATCH($B32,$AJ$3:$AJ$51,0),1),3,1)),IF(State="CA",INT(RIGHT(INDEX($AT$3:$AT$51,MATCH($B32,$AJ$3:$AJ$51,0),1),1)),INDEX($AU$3:$AU$51,MATCH($B32,$AJ$3:$AJ$51,0),1))),IF(AND(VLOOKUP(State,Compact,2,FALSE)="Y",INDEX($AT$3:$AT$51,MATCH($B32,$AJ$3:$AJ$51,0),1)&lt;&gt;"Standard",INDEX($AT$3:$AT$51,MATCH($B32,$AJ$3:$AJ$51,0),1)&lt;&gt;"Variable"),INT(RIGHT(INDEX($AT$3:$AT$51,MATCH($B32,$AJ$3:$AJ$51,0),1),1)),INDEX($AU$3:$AU$51,MATCH($B32,$AJ$3:$AJ$51,0),1)))</f>
        <v>2</v>
      </c>
      <c r="D32" s="319">
        <v>4</v>
      </c>
      <c r="E32" s="317">
        <f t="shared" ref="E32" si="101">IF(AND(INDEX($AW$3:$AW$51,MATCH($B32,$AJ$3:$AJ$51,0),1)&lt;&gt;"Standard",State="CA"),INT(RIGHT(INDEX($AW$3:$AW$51,MATCH($B32,$AJ$3:$AJ$51,0),1),1)),INDEX($AX$3:$AX$51,MATCH($B32,$AJ$3:$AJ$51,0),1))</f>
        <v>3</v>
      </c>
      <c r="F32" s="319">
        <v>1</v>
      </c>
      <c r="G32" s="319" t="s">
        <v>241</v>
      </c>
      <c r="H32" s="319">
        <v>7</v>
      </c>
      <c r="I32" s="319">
        <v>2</v>
      </c>
      <c r="J32" s="319">
        <v>3</v>
      </c>
      <c r="K32" s="319">
        <v>5</v>
      </c>
      <c r="L32" s="317" cm="1">
        <f t="array" ref="L32">INDEX($AO$3:$AP$51,MATCH($B32,$AJ$3:$AJ$51,0),INDEX($AJ$58:$AJ$63,MATCH(LivBen,$AI$58:$AI$63,0),1))</f>
        <v>3</v>
      </c>
      <c r="M32" s="319">
        <v>0</v>
      </c>
      <c r="N32" s="319">
        <v>1</v>
      </c>
      <c r="O32" s="319">
        <v>1</v>
      </c>
      <c r="P32" s="368">
        <v>1</v>
      </c>
      <c r="Q32" s="319">
        <v>1</v>
      </c>
      <c r="R32" s="319" t="s">
        <v>223</v>
      </c>
      <c r="S32" s="318" t="s">
        <v>223</v>
      </c>
      <c r="T32" s="319">
        <v>1</v>
      </c>
      <c r="U32" s="319">
        <v>1</v>
      </c>
      <c r="Y32" s="370" t="s">
        <v>98</v>
      </c>
      <c r="AA32" s="370" t="s">
        <v>337</v>
      </c>
      <c r="AG32" s="336" t="s">
        <v>333</v>
      </c>
      <c r="AH32" s="337" t="str">
        <f t="shared" si="64"/>
        <v>PoSS</v>
      </c>
      <c r="AI32" s="337" t="s">
        <v>334</v>
      </c>
      <c r="AJ32" s="336" t="s">
        <v>338</v>
      </c>
      <c r="AK32" s="337" t="str">
        <f t="shared" si="65"/>
        <v>LIPFLIPMF</v>
      </c>
      <c r="AL32" s="337" t="s">
        <v>241</v>
      </c>
      <c r="AM32" s="338" t="s">
        <v>272</v>
      </c>
      <c r="AN32" s="339" t="s">
        <v>251</v>
      </c>
      <c r="AO32" s="340">
        <v>7</v>
      </c>
      <c r="AP32" s="340">
        <v>8</v>
      </c>
      <c r="AQ32" s="338" t="s">
        <v>272</v>
      </c>
      <c r="AR32" s="341" t="s">
        <v>273</v>
      </c>
      <c r="AS32" s="341"/>
      <c r="AT32" s="337" t="s">
        <v>265</v>
      </c>
      <c r="AU32" s="337">
        <v>1</v>
      </c>
      <c r="AV32" s="342" t="s">
        <v>266</v>
      </c>
      <c r="AW32" s="337" t="s">
        <v>83</v>
      </c>
      <c r="AX32" s="337">
        <v>2</v>
      </c>
      <c r="AY32" s="342"/>
      <c r="BC32" s="343">
        <v>74</v>
      </c>
      <c r="BD32" s="344">
        <f t="shared" si="10"/>
        <v>0</v>
      </c>
      <c r="BE32" s="345">
        <f t="shared" si="11"/>
        <v>0</v>
      </c>
      <c r="BF32" s="358">
        <f t="shared" ref="BF32" si="102">IF(OR($BC$2="None",RIGHT(Category,2)&lt;&gt;"NY"),$BG32,INDEX($CF$7:$CG$39,MATCH($BC32,$BC$7:$BC$39,0),MATCH($BC$2,$CF$6:$CG$6,0)))</f>
        <v>0</v>
      </c>
      <c r="BG32" s="347">
        <v>0</v>
      </c>
      <c r="BH32" s="348">
        <f t="shared" si="92"/>
        <v>0.08</v>
      </c>
      <c r="BI32" s="349">
        <f t="shared" si="92"/>
        <v>7.4999999999999997E-2</v>
      </c>
      <c r="BJ32" s="348">
        <f t="shared" si="92"/>
        <v>0.1</v>
      </c>
      <c r="BK32" s="349">
        <f t="shared" si="92"/>
        <v>9.5000000000000001E-2</v>
      </c>
      <c r="BL32" s="348">
        <f t="shared" si="92"/>
        <v>7.8E-2</v>
      </c>
      <c r="BM32" s="349">
        <f t="shared" si="92"/>
        <v>7.2999999999999995E-2</v>
      </c>
      <c r="BN32" s="348">
        <f t="shared" si="92"/>
        <v>7.3499999999999996E-2</v>
      </c>
      <c r="BO32" s="349">
        <f t="shared" si="92"/>
        <v>6.8500000000000005E-2</v>
      </c>
      <c r="BP32" s="348">
        <f t="shared" si="92"/>
        <v>8.0500000000000002E-2</v>
      </c>
      <c r="BQ32" s="349">
        <f t="shared" si="92"/>
        <v>7.5499999999999998E-2</v>
      </c>
      <c r="BR32" s="348">
        <f t="shared" si="92"/>
        <v>7.5999999999999998E-2</v>
      </c>
      <c r="BS32" s="349">
        <f t="shared" si="92"/>
        <v>7.0999999999999994E-2</v>
      </c>
      <c r="BT32" s="348">
        <f t="shared" si="74"/>
        <v>8.500000000000002E-2</v>
      </c>
      <c r="BU32" s="349">
        <f t="shared" si="74"/>
        <v>8.0000000000000029E-2</v>
      </c>
      <c r="BV32" s="348">
        <f t="shared" si="74"/>
        <v>7.9000000000000029E-2</v>
      </c>
      <c r="BW32" s="349">
        <f t="shared" si="74"/>
        <v>7.4000000000000024E-2</v>
      </c>
      <c r="BX32" s="348">
        <f t="shared" si="74"/>
        <v>8.7500000000000022E-2</v>
      </c>
      <c r="BY32" s="349">
        <f t="shared" si="74"/>
        <v>8.2500000000000018E-2</v>
      </c>
      <c r="BZ32" s="348">
        <f t="shared" si="74"/>
        <v>8.1500000000000031E-2</v>
      </c>
      <c r="CA32" s="349">
        <f t="shared" si="74"/>
        <v>7.6500000000000026E-2</v>
      </c>
      <c r="CB32" s="350">
        <f t="shared" si="93"/>
        <v>0.08</v>
      </c>
      <c r="CC32" s="351">
        <f t="shared" si="93"/>
        <v>7.4999999999999997E-2</v>
      </c>
      <c r="CD32" s="350">
        <f t="shared" si="93"/>
        <v>0.06</v>
      </c>
      <c r="CE32" s="351">
        <f t="shared" si="93"/>
        <v>5.5E-2</v>
      </c>
      <c r="CF32" s="366">
        <f t="shared" ref="CF32:CG38" si="103">CF31+0.001</f>
        <v>7.0500000000000021E-2</v>
      </c>
      <c r="CG32" s="367">
        <f t="shared" si="103"/>
        <v>6.5500000000000017E-2</v>
      </c>
    </row>
    <row r="33" spans="2:85" ht="14.4" x14ac:dyDescent="0.3">
      <c r="B33" s="316" t="s">
        <v>315</v>
      </c>
      <c r="C33" s="317">
        <f t="shared" ref="C33" si="104">IF(LEFT(INDEX($AT$3:$AT$51,MATCH($B33,$AJ$3:$AJ$51,0),1),1)="C",IF(VLOOKUP(State,Compact,3,FALSE)="Y",INT(MID(INDEX($AT$3:$AT$51,MATCH($B33,$AJ$3:$AJ$51,0),1),3,1)),IF(State="CA",INT(RIGHT(INDEX($AT$3:$AT$51,MATCH($B33,$AJ$3:$AJ$51,0),1),1)),INDEX($AU$3:$AU$51,MATCH($B33,$AJ$3:$AJ$51,0),1))),IF(AND(VLOOKUP(State,Compact,2,FALSE)="Y",INDEX($AT$3:$AT$51,MATCH($B33,$AJ$3:$AJ$51,0),1)&lt;&gt;"Standard",INDEX($AT$3:$AT$51,MATCH($B33,$AJ$3:$AJ$51,0),1)&lt;&gt;"Variable"),INT(RIGHT(INDEX($AT$3:$AT$51,MATCH($B33,$AJ$3:$AJ$51,0),1),1)),INDEX($AU$3:$AU$51,MATCH($B33,$AJ$3:$AJ$51,0),1)))</f>
        <v>2</v>
      </c>
      <c r="D33" s="319">
        <v>4</v>
      </c>
      <c r="E33" s="317">
        <f t="shared" ref="E33" si="105">IF(AND(INDEX($AW$3:$AW$51,MATCH($B33,$AJ$3:$AJ$51,0),1)&lt;&gt;"Standard",State="CA"),INT(RIGHT(INDEX($AW$3:$AW$51,MATCH($B33,$AJ$3:$AJ$51,0),1),1)),INDEX($AX$3:$AX$51,MATCH($B33,$AJ$3:$AJ$51,0),1))</f>
        <v>3</v>
      </c>
      <c r="F33" s="319">
        <v>1</v>
      </c>
      <c r="G33" s="319" t="s">
        <v>73</v>
      </c>
      <c r="H33" s="319">
        <v>7</v>
      </c>
      <c r="I33" s="319">
        <v>2</v>
      </c>
      <c r="J33" s="319">
        <v>3</v>
      </c>
      <c r="K33" s="319">
        <v>5</v>
      </c>
      <c r="L33" s="317" cm="1">
        <f t="array" ref="L33">INDEX($AO$3:$AP$51,MATCH($B33,$AJ$3:$AJ$51,0),INDEX($AJ$58:$AJ$63,MATCH(LivBen,$AI$58:$AI$63,0),1))</f>
        <v>0</v>
      </c>
      <c r="M33" s="319">
        <v>0</v>
      </c>
      <c r="N33" s="319">
        <v>1</v>
      </c>
      <c r="O33" s="319">
        <v>1</v>
      </c>
      <c r="P33" s="368">
        <v>1</v>
      </c>
      <c r="Q33" s="319">
        <v>1</v>
      </c>
      <c r="R33" s="319" t="s">
        <v>223</v>
      </c>
      <c r="S33" s="318" t="s">
        <v>223</v>
      </c>
      <c r="T33" s="319">
        <v>1</v>
      </c>
      <c r="U33" s="319">
        <v>1</v>
      </c>
      <c r="Y33" s="371" t="s">
        <v>339</v>
      </c>
      <c r="AA33" s="371" t="s">
        <v>121</v>
      </c>
      <c r="AG33" s="336" t="s">
        <v>333</v>
      </c>
      <c r="AH33" s="337" t="str">
        <f>TRIM(LEFT(AG33,2)&amp;IFERROR(MID(_xlfn.TEXTAFTER(SUBSTITUTE(AG33,"&amp; ","")," ",1),1,1),"")&amp;IFERROR(MID(_xlfn.TEXTAFTER(SUBSTITUTE(AG33,"&amp; ","")," ",2),1,1),"")&amp;IFERROR(MID(_xlfn.TEXTAFTER(SUBSTITUTE(AG33,"&amp; ","")," ",3),1,1),"")&amp;IFERROR(MID(_xlfn.TEXTAFTER(SUBSTITUTE(AG33,"&amp; ","")," ",4),1,1),""))</f>
        <v>PoSS</v>
      </c>
      <c r="AI33" s="337" t="s">
        <v>334</v>
      </c>
      <c r="AJ33" s="336" t="s">
        <v>340</v>
      </c>
      <c r="AK33" s="337" t="str">
        <f>IF(AM33="None","None",TRIM(LEFT(AM33,1)&amp;IFERROR(MID(_xlfn.TEXTAFTER(AM33," ",1),1,1),"")&amp;IFERROR(MID(_xlfn.TEXTAFTER(AM33," ",2),1,1),"")&amp;IFERROR(MID(_xlfn.TEXTAFTER(AM33," ",3),1,1),"")&amp;IFERROR(MID(_xlfn.TEXTAFTER(AM33," ",4),1,1),"")&amp;LEFT(AN33,1)&amp;IFERROR(MID(_xlfn.TEXTAFTER(AN33," ",1),1,1),"")&amp;IFERROR(MID(_xlfn.TEXTAFTER(AN33," ",2),1,1),"")&amp;IFERROR(MID(_xlfn.TEXTAFTER(AN33," ",3),1,1),"")&amp;IFERROR(MID(_xlfn.TEXTAFTER(AN33," ",4),1,1),"")))</f>
        <v>LIPFLIPMF</v>
      </c>
      <c r="AL33" s="337" t="s">
        <v>241</v>
      </c>
      <c r="AM33" s="338" t="s">
        <v>272</v>
      </c>
      <c r="AN33" s="339" t="s">
        <v>251</v>
      </c>
      <c r="AO33" s="340">
        <v>9</v>
      </c>
      <c r="AP33" s="340">
        <v>10</v>
      </c>
      <c r="AQ33" s="338" t="s">
        <v>272</v>
      </c>
      <c r="AR33" s="341" t="s">
        <v>273</v>
      </c>
      <c r="AS33" s="341"/>
      <c r="AT33" s="337" t="s">
        <v>83</v>
      </c>
      <c r="AU33" s="337">
        <v>4</v>
      </c>
      <c r="AV33" s="342"/>
      <c r="AW33" s="337" t="s">
        <v>83</v>
      </c>
      <c r="AX33" s="337">
        <v>3</v>
      </c>
      <c r="AY33" s="342"/>
      <c r="BC33" s="343">
        <v>75</v>
      </c>
      <c r="BD33" s="344">
        <f t="shared" si="10"/>
        <v>0</v>
      </c>
      <c r="BE33" s="345">
        <f t="shared" si="11"/>
        <v>0</v>
      </c>
      <c r="BF33" s="358">
        <f t="shared" ref="BF33" si="106">IF(OR($BC$2="None",RIGHT(Category,2)&lt;&gt;"NY"),$BG33,INDEX($CF$7:$CG$39,MATCH($BC33,$BC$7:$BC$39,0),MATCH($BC$2,$CF$6:$CG$6,0)))</f>
        <v>0</v>
      </c>
      <c r="BG33" s="347">
        <v>0</v>
      </c>
      <c r="BH33" s="359">
        <v>8.5000000000000006E-2</v>
      </c>
      <c r="BI33" s="360">
        <v>0.08</v>
      </c>
      <c r="BJ33" s="359">
        <v>0.11</v>
      </c>
      <c r="BK33" s="360">
        <v>0.105</v>
      </c>
      <c r="BL33" s="359">
        <v>8.2500000000000004E-2</v>
      </c>
      <c r="BM33" s="360">
        <v>7.7499999999999999E-2</v>
      </c>
      <c r="BN33" s="359">
        <v>7.8E-2</v>
      </c>
      <c r="BO33" s="360">
        <v>7.2999999999999995E-2</v>
      </c>
      <c r="BP33" s="359">
        <v>8.5000000000000006E-2</v>
      </c>
      <c r="BQ33" s="360">
        <v>0.08</v>
      </c>
      <c r="BR33" s="359">
        <v>8.0500000000000002E-2</v>
      </c>
      <c r="BS33" s="360">
        <v>7.5499999999999998E-2</v>
      </c>
      <c r="BT33" s="348">
        <f t="shared" si="74"/>
        <v>8.6000000000000021E-2</v>
      </c>
      <c r="BU33" s="349">
        <f t="shared" si="74"/>
        <v>8.100000000000003E-2</v>
      </c>
      <c r="BV33" s="348">
        <f t="shared" si="74"/>
        <v>8.0000000000000029E-2</v>
      </c>
      <c r="BW33" s="349">
        <f t="shared" si="74"/>
        <v>7.5000000000000025E-2</v>
      </c>
      <c r="BX33" s="348">
        <f t="shared" si="74"/>
        <v>8.8500000000000023E-2</v>
      </c>
      <c r="BY33" s="349">
        <f t="shared" si="74"/>
        <v>8.3500000000000019E-2</v>
      </c>
      <c r="BZ33" s="348">
        <f t="shared" si="74"/>
        <v>8.2500000000000032E-2</v>
      </c>
      <c r="CA33" s="349">
        <f t="shared" si="74"/>
        <v>7.7500000000000027E-2</v>
      </c>
      <c r="CB33" s="361">
        <v>8.5000000000000006E-2</v>
      </c>
      <c r="CC33" s="362">
        <v>0.08</v>
      </c>
      <c r="CD33" s="361">
        <v>0.06</v>
      </c>
      <c r="CE33" s="362">
        <v>5.5E-2</v>
      </c>
      <c r="CF33" s="366">
        <f t="shared" si="103"/>
        <v>7.1500000000000022E-2</v>
      </c>
      <c r="CG33" s="367">
        <f t="shared" si="103"/>
        <v>6.6500000000000017E-2</v>
      </c>
    </row>
    <row r="34" spans="2:85" ht="14.4" x14ac:dyDescent="0.3">
      <c r="B34" s="316" t="s">
        <v>317</v>
      </c>
      <c r="C34" s="317">
        <f t="shared" ref="C34" si="107">IF(LEFT(INDEX($AT$3:$AT$51,MATCH($B34,$AJ$3:$AJ$51,0),1),1)="C",IF(VLOOKUP(State,Compact,3,FALSE)="Y",INT(MID(INDEX($AT$3:$AT$51,MATCH($B34,$AJ$3:$AJ$51,0),1),3,1)),IF(State="CA",INT(RIGHT(INDEX($AT$3:$AT$51,MATCH($B34,$AJ$3:$AJ$51,0),1),1)),INDEX($AU$3:$AU$51,MATCH($B34,$AJ$3:$AJ$51,0),1))),IF(AND(VLOOKUP(State,Compact,2,FALSE)="Y",INDEX($AT$3:$AT$51,MATCH($B34,$AJ$3:$AJ$51,0),1)&lt;&gt;"Standard",INDEX($AT$3:$AT$51,MATCH($B34,$AJ$3:$AJ$51,0),1)&lt;&gt;"Variable"),INT(RIGHT(INDEX($AT$3:$AT$51,MATCH($B34,$AJ$3:$AJ$51,0),1),1)),INDEX($AU$3:$AU$51,MATCH($B34,$AJ$3:$AJ$51,0),1)))</f>
        <v>2</v>
      </c>
      <c r="D34" s="319">
        <v>4</v>
      </c>
      <c r="E34" s="317">
        <f t="shared" ref="E34" si="108">IF(AND(INDEX($AW$3:$AW$51,MATCH($B34,$AJ$3:$AJ$51,0),1)&lt;&gt;"Standard",State="CA"),INT(RIGHT(INDEX($AW$3:$AW$51,MATCH($B34,$AJ$3:$AJ$51,0),1),1)),INDEX($AX$3:$AX$51,MATCH($B34,$AJ$3:$AJ$51,0),1))</f>
        <v>3</v>
      </c>
      <c r="F34" s="319">
        <v>1</v>
      </c>
      <c r="G34" s="319" t="s">
        <v>241</v>
      </c>
      <c r="H34" s="319">
        <v>7</v>
      </c>
      <c r="I34" s="319">
        <v>2</v>
      </c>
      <c r="J34" s="319">
        <v>3</v>
      </c>
      <c r="K34" s="319">
        <v>5</v>
      </c>
      <c r="L34" s="317" cm="1">
        <f t="array" ref="L34">INDEX($AO$3:$AP$51,MATCH($B34,$AJ$3:$AJ$51,0),INDEX($AJ$58:$AJ$63,MATCH(LivBen,$AI$58:$AI$63,0),1))</f>
        <v>3</v>
      </c>
      <c r="M34" s="319">
        <v>0</v>
      </c>
      <c r="N34" s="319">
        <v>1</v>
      </c>
      <c r="O34" s="319">
        <v>1</v>
      </c>
      <c r="P34" s="368">
        <v>1</v>
      </c>
      <c r="Q34" s="319">
        <v>1</v>
      </c>
      <c r="R34" s="319" t="s">
        <v>223</v>
      </c>
      <c r="S34" s="318" t="s">
        <v>223</v>
      </c>
      <c r="T34" s="319">
        <v>1</v>
      </c>
      <c r="U34" s="319">
        <v>1</v>
      </c>
      <c r="AG34" s="336"/>
      <c r="AH34" s="337"/>
      <c r="AI34" s="337"/>
      <c r="AJ34" s="336"/>
      <c r="AK34" s="337"/>
      <c r="AL34" s="337"/>
      <c r="AM34" s="338"/>
      <c r="AN34" s="339"/>
      <c r="AO34" s="340"/>
      <c r="AP34" s="340"/>
      <c r="AQ34" s="338"/>
      <c r="AR34" s="341"/>
      <c r="AS34" s="341"/>
      <c r="AT34" s="337"/>
      <c r="AU34" s="337"/>
      <c r="AV34" s="342"/>
      <c r="AW34" s="337"/>
      <c r="AX34" s="337"/>
      <c r="AY34" s="342"/>
      <c r="BC34" s="343">
        <v>76</v>
      </c>
      <c r="BD34" s="344">
        <f t="shared" si="10"/>
        <v>0</v>
      </c>
      <c r="BE34" s="345">
        <f t="shared" si="11"/>
        <v>0</v>
      </c>
      <c r="BF34" s="358">
        <f t="shared" ref="BF34" si="109">IF(OR($BC$2="None",RIGHT(Category,2)&lt;&gt;"NY"),$BG34,INDEX($CF$7:$CG$39,MATCH($BC34,$BC$7:$BC$39,0),MATCH($BC$2,$CF$6:$CG$6,0)))</f>
        <v>0</v>
      </c>
      <c r="BG34" s="347">
        <v>0</v>
      </c>
      <c r="BH34" s="348">
        <f t="shared" ref="BH34:BW39" si="110">BH33</f>
        <v>8.5000000000000006E-2</v>
      </c>
      <c r="BI34" s="349">
        <f t="shared" si="110"/>
        <v>0.08</v>
      </c>
      <c r="BJ34" s="348">
        <f t="shared" si="110"/>
        <v>0.11</v>
      </c>
      <c r="BK34" s="349">
        <f t="shared" si="110"/>
        <v>0.105</v>
      </c>
      <c r="BL34" s="348">
        <f t="shared" si="110"/>
        <v>8.2500000000000004E-2</v>
      </c>
      <c r="BM34" s="349">
        <f t="shared" si="110"/>
        <v>7.7499999999999999E-2</v>
      </c>
      <c r="BN34" s="348">
        <f t="shared" si="110"/>
        <v>7.8E-2</v>
      </c>
      <c r="BO34" s="349">
        <f t="shared" si="110"/>
        <v>7.2999999999999995E-2</v>
      </c>
      <c r="BP34" s="348">
        <f t="shared" si="110"/>
        <v>8.5000000000000006E-2</v>
      </c>
      <c r="BQ34" s="349">
        <f t="shared" si="110"/>
        <v>0.08</v>
      </c>
      <c r="BR34" s="348">
        <f t="shared" si="110"/>
        <v>8.0500000000000002E-2</v>
      </c>
      <c r="BS34" s="349">
        <f t="shared" si="110"/>
        <v>7.5499999999999998E-2</v>
      </c>
      <c r="BT34" s="348">
        <f t="shared" si="74"/>
        <v>8.7000000000000022E-2</v>
      </c>
      <c r="BU34" s="349">
        <f t="shared" si="74"/>
        <v>8.2000000000000031E-2</v>
      </c>
      <c r="BV34" s="348">
        <f t="shared" si="74"/>
        <v>8.100000000000003E-2</v>
      </c>
      <c r="BW34" s="349">
        <f t="shared" si="74"/>
        <v>7.6000000000000026E-2</v>
      </c>
      <c r="BX34" s="348">
        <f t="shared" si="74"/>
        <v>8.9500000000000024E-2</v>
      </c>
      <c r="BY34" s="349">
        <f t="shared" si="74"/>
        <v>8.450000000000002E-2</v>
      </c>
      <c r="BZ34" s="348">
        <f t="shared" si="74"/>
        <v>8.3500000000000033E-2</v>
      </c>
      <c r="CA34" s="349">
        <f t="shared" si="74"/>
        <v>7.8500000000000028E-2</v>
      </c>
      <c r="CB34" s="350">
        <f t="shared" ref="CB34:CE39" si="111">CB33</f>
        <v>8.5000000000000006E-2</v>
      </c>
      <c r="CC34" s="351">
        <f t="shared" si="111"/>
        <v>0.08</v>
      </c>
      <c r="CD34" s="350">
        <f t="shared" si="111"/>
        <v>0.06</v>
      </c>
      <c r="CE34" s="351">
        <f t="shared" si="111"/>
        <v>5.5E-2</v>
      </c>
      <c r="CF34" s="366">
        <f t="shared" si="103"/>
        <v>7.2500000000000023E-2</v>
      </c>
      <c r="CG34" s="367">
        <f t="shared" si="103"/>
        <v>6.7500000000000018E-2</v>
      </c>
    </row>
    <row r="35" spans="2:85" ht="14.4" x14ac:dyDescent="0.3">
      <c r="B35" s="316" t="s">
        <v>323</v>
      </c>
      <c r="C35" s="317">
        <f t="shared" ref="C35" si="112">IF(LEFT(INDEX($AT$3:$AT$51,MATCH($B35,$AJ$3:$AJ$51,0),1),1)="C",IF(VLOOKUP(State,Compact,3,FALSE)="Y",INT(MID(INDEX($AT$3:$AT$51,MATCH($B35,$AJ$3:$AJ$51,0),1),3,1)),IF(State="CA",INT(RIGHT(INDEX($AT$3:$AT$51,MATCH($B35,$AJ$3:$AJ$51,0),1),1)),INDEX($AU$3:$AU$51,MATCH($B35,$AJ$3:$AJ$51,0),1))),IF(AND(VLOOKUP(State,Compact,2,FALSE)="Y",INDEX($AT$3:$AT$51,MATCH($B35,$AJ$3:$AJ$51,0),1)&lt;&gt;"Standard",INDEX($AT$3:$AT$51,MATCH($B35,$AJ$3:$AJ$51,0),1)&lt;&gt;"Variable"),INT(RIGHT(INDEX($AT$3:$AT$51,MATCH($B35,$AJ$3:$AJ$51,0),1),1)),INDEX($AU$3:$AU$51,MATCH($B35,$AJ$3:$AJ$51,0),1)))</f>
        <v>2</v>
      </c>
      <c r="D35" s="319">
        <v>4</v>
      </c>
      <c r="E35" s="317">
        <f t="shared" ref="E35" si="113">IF(AND(INDEX($AW$3:$AW$51,MATCH($B35,$AJ$3:$AJ$51,0),1)&lt;&gt;"Standard",State="CA"),INT(RIGHT(INDEX($AW$3:$AW$51,MATCH($B35,$AJ$3:$AJ$51,0),1),1)),INDEX($AX$3:$AX$51,MATCH($B35,$AJ$3:$AJ$51,0),1))</f>
        <v>3</v>
      </c>
      <c r="F35" s="319">
        <v>1</v>
      </c>
      <c r="G35" s="319" t="s">
        <v>73</v>
      </c>
      <c r="H35" s="319">
        <v>8</v>
      </c>
      <c r="I35" s="319">
        <v>4</v>
      </c>
      <c r="J35" s="319">
        <v>3</v>
      </c>
      <c r="K35" s="319">
        <v>5</v>
      </c>
      <c r="L35" s="317" cm="1">
        <f t="array" ref="L35">INDEX($AO$3:$AP$51,MATCH($B35,$AJ$3:$AJ$51,0),INDEX($AJ$58:$AJ$63,MATCH(LivBen,$AI$58:$AI$63,0),1))</f>
        <v>0</v>
      </c>
      <c r="M35" s="319">
        <v>0</v>
      </c>
      <c r="N35" s="319">
        <v>1</v>
      </c>
      <c r="O35" s="319">
        <v>1</v>
      </c>
      <c r="P35" s="368">
        <v>1</v>
      </c>
      <c r="Q35" s="319">
        <v>2</v>
      </c>
      <c r="R35" s="319" t="s">
        <v>223</v>
      </c>
      <c r="S35" s="318" t="s">
        <v>223</v>
      </c>
      <c r="T35" s="319">
        <v>1</v>
      </c>
      <c r="U35" s="319">
        <v>1</v>
      </c>
      <c r="AG35" s="336"/>
      <c r="AH35" s="337"/>
      <c r="AI35" s="337"/>
      <c r="AJ35" s="336"/>
      <c r="AK35" s="337"/>
      <c r="AL35" s="337"/>
      <c r="AM35" s="338"/>
      <c r="AN35" s="339"/>
      <c r="AO35" s="340"/>
      <c r="AP35" s="340"/>
      <c r="AQ35" s="338"/>
      <c r="AR35" s="341"/>
      <c r="AS35" s="341"/>
      <c r="AT35" s="337"/>
      <c r="AU35" s="337"/>
      <c r="AV35" s="342"/>
      <c r="AW35" s="337" t="s">
        <v>83</v>
      </c>
      <c r="AX35" s="337"/>
      <c r="AY35" s="342"/>
      <c r="BC35" s="343">
        <v>77</v>
      </c>
      <c r="BD35" s="344">
        <f t="shared" si="10"/>
        <v>0</v>
      </c>
      <c r="BE35" s="345">
        <f t="shared" si="11"/>
        <v>0</v>
      </c>
      <c r="BF35" s="358">
        <f t="shared" ref="BF35" si="114">IF(OR($BC$2="None",RIGHT(Category,2)&lt;&gt;"NY"),$BG35,INDEX($CF$7:$CG$39,MATCH($BC35,$BC$7:$BC$39,0),MATCH($BC$2,$CF$6:$CG$6,0)))</f>
        <v>0</v>
      </c>
      <c r="BG35" s="347">
        <v>0</v>
      </c>
      <c r="BH35" s="348">
        <f t="shared" si="110"/>
        <v>8.5000000000000006E-2</v>
      </c>
      <c r="BI35" s="349">
        <f t="shared" si="110"/>
        <v>0.08</v>
      </c>
      <c r="BJ35" s="348">
        <f t="shared" si="110"/>
        <v>0.11</v>
      </c>
      <c r="BK35" s="349">
        <f t="shared" si="110"/>
        <v>0.105</v>
      </c>
      <c r="BL35" s="348">
        <f t="shared" si="110"/>
        <v>8.2500000000000004E-2</v>
      </c>
      <c r="BM35" s="349">
        <f t="shared" si="110"/>
        <v>7.7499999999999999E-2</v>
      </c>
      <c r="BN35" s="348">
        <f t="shared" si="110"/>
        <v>7.8E-2</v>
      </c>
      <c r="BO35" s="349">
        <f t="shared" si="110"/>
        <v>7.2999999999999995E-2</v>
      </c>
      <c r="BP35" s="348">
        <f t="shared" si="110"/>
        <v>8.5000000000000006E-2</v>
      </c>
      <c r="BQ35" s="349">
        <f t="shared" si="110"/>
        <v>0.08</v>
      </c>
      <c r="BR35" s="348">
        <f t="shared" si="110"/>
        <v>8.0500000000000002E-2</v>
      </c>
      <c r="BS35" s="349">
        <f t="shared" si="110"/>
        <v>7.5499999999999998E-2</v>
      </c>
      <c r="BT35" s="348">
        <f t="shared" si="74"/>
        <v>8.8000000000000023E-2</v>
      </c>
      <c r="BU35" s="349">
        <f t="shared" si="74"/>
        <v>8.3000000000000032E-2</v>
      </c>
      <c r="BV35" s="348">
        <f t="shared" si="74"/>
        <v>8.2000000000000031E-2</v>
      </c>
      <c r="BW35" s="349">
        <f t="shared" si="74"/>
        <v>7.7000000000000027E-2</v>
      </c>
      <c r="BX35" s="348">
        <f t="shared" si="74"/>
        <v>9.0500000000000025E-2</v>
      </c>
      <c r="BY35" s="349">
        <f t="shared" si="74"/>
        <v>8.550000000000002E-2</v>
      </c>
      <c r="BZ35" s="348">
        <f t="shared" si="74"/>
        <v>8.4500000000000033E-2</v>
      </c>
      <c r="CA35" s="349">
        <f t="shared" si="74"/>
        <v>7.9500000000000029E-2</v>
      </c>
      <c r="CB35" s="350">
        <f t="shared" si="111"/>
        <v>8.5000000000000006E-2</v>
      </c>
      <c r="CC35" s="351">
        <f t="shared" si="111"/>
        <v>0.08</v>
      </c>
      <c r="CD35" s="350">
        <f t="shared" si="111"/>
        <v>0.06</v>
      </c>
      <c r="CE35" s="351">
        <f t="shared" si="111"/>
        <v>5.5E-2</v>
      </c>
      <c r="CF35" s="366">
        <f t="shared" si="103"/>
        <v>7.3500000000000024E-2</v>
      </c>
      <c r="CG35" s="367">
        <f t="shared" si="103"/>
        <v>6.8500000000000019E-2</v>
      </c>
    </row>
    <row r="36" spans="2:85" ht="14.4" x14ac:dyDescent="0.3">
      <c r="B36" s="316" t="s">
        <v>330</v>
      </c>
      <c r="C36" s="317">
        <f t="shared" ref="C36" si="115">IF(LEFT(INDEX($AT$3:$AT$51,MATCH($B36,$AJ$3:$AJ$51,0),1),1)="C",IF(VLOOKUP(State,Compact,3,FALSE)="Y",INT(MID(INDEX($AT$3:$AT$51,MATCH($B36,$AJ$3:$AJ$51,0),1),3,1)),IF(State="CA",INT(RIGHT(INDEX($AT$3:$AT$51,MATCH($B36,$AJ$3:$AJ$51,0),1),1)),INDEX($AU$3:$AU$51,MATCH($B36,$AJ$3:$AJ$51,0),1))),IF(AND(VLOOKUP(State,Compact,2,FALSE)="Y",INDEX($AT$3:$AT$51,MATCH($B36,$AJ$3:$AJ$51,0),1)&lt;&gt;"Standard",INDEX($AT$3:$AT$51,MATCH($B36,$AJ$3:$AJ$51,0),1)&lt;&gt;"Variable"),INT(RIGHT(INDEX($AT$3:$AT$51,MATCH($B36,$AJ$3:$AJ$51,0),1),1)),INDEX($AU$3:$AU$51,MATCH($B36,$AJ$3:$AJ$51,0),1)))</f>
        <v>7</v>
      </c>
      <c r="D36" s="319">
        <v>4</v>
      </c>
      <c r="E36" s="317">
        <f t="shared" ref="E36" si="116">IF(AND(INDEX($AW$3:$AW$51,MATCH($B36,$AJ$3:$AJ$51,0),1)&lt;&gt;"Standard",State="CA"),INT(RIGHT(INDEX($AW$3:$AW$51,MATCH($B36,$AJ$3:$AJ$51,0),1),1)),INDEX($AX$3:$AX$51,MATCH($B36,$AJ$3:$AJ$51,0),1))</f>
        <v>3</v>
      </c>
      <c r="F36" s="319">
        <v>1</v>
      </c>
      <c r="G36" s="319" t="s">
        <v>73</v>
      </c>
      <c r="H36" s="319">
        <v>8</v>
      </c>
      <c r="I36" s="319">
        <v>4</v>
      </c>
      <c r="J36" s="319">
        <v>3</v>
      </c>
      <c r="K36" s="319">
        <v>5</v>
      </c>
      <c r="L36" s="317" cm="1">
        <f t="array" ref="L36">INDEX($AO$3:$AP$51,MATCH($B36,$AJ$3:$AJ$51,0),INDEX($AJ$58:$AJ$63,MATCH(LivBen,$AI$58:$AI$63,0),1))</f>
        <v>0</v>
      </c>
      <c r="M36" s="319">
        <v>0</v>
      </c>
      <c r="N36" s="319">
        <v>1</v>
      </c>
      <c r="O36" s="319">
        <v>1</v>
      </c>
      <c r="P36" s="368">
        <v>1</v>
      </c>
      <c r="Q36" s="319">
        <v>2</v>
      </c>
      <c r="R36" s="319" t="s">
        <v>223</v>
      </c>
      <c r="S36" s="318" t="s">
        <v>223</v>
      </c>
      <c r="T36" s="319">
        <v>3</v>
      </c>
      <c r="U36" s="319">
        <v>1</v>
      </c>
      <c r="AG36" s="325" t="s">
        <v>341</v>
      </c>
      <c r="AH36" s="326" t="str">
        <f t="shared" ref="AH36:AH47" si="117">TRIM(LEFT(AG36,2)&amp;IFERROR(MID(_xlfn.TEXTAFTER(SUBSTITUTE(AG36,"&amp; ","")," ",1),1,1),"")&amp;IFERROR(MID(_xlfn.TEXTAFTER(SUBSTITUTE(AG36,"&amp; ","")," ",2),1,1),"")&amp;IFERROR(MID(_xlfn.TEXTAFTER(SUBSTITUTE(AG36,"&amp; ","")," ",3),1,1),"")&amp;IFERROR(MID(_xlfn.TEXTAFTER(SUBSTITUTE(AG36,"&amp; ","")," ",4),1,1),""))</f>
        <v>ShPPS</v>
      </c>
      <c r="AI36" s="326" t="s">
        <v>342</v>
      </c>
      <c r="AJ36" s="325" t="s">
        <v>259</v>
      </c>
      <c r="AK36" s="326" t="str">
        <f t="shared" ref="AK36:AK47" si="118">IF(AM36="None","None",TRIM(LEFT(AM36,1)&amp;IFERROR(MID(_xlfn.TEXTAFTER(AM36," ",1),1,1),"")&amp;IFERROR(MID(_xlfn.TEXTAFTER(AM36," ",2),1,1),"")&amp;IFERROR(MID(_xlfn.TEXTAFTER(AM36," ",3),1,1),"")&amp;IFERROR(MID(_xlfn.TEXTAFTER(AM36," ",4),1,1),"")&amp;LEFT(AN36,1)&amp;IFERROR(MID(_xlfn.TEXTAFTER(AN36," ",1),1,1),"")&amp;IFERROR(MID(_xlfn.TEXTAFTER(AN36," ",2),1,1),"")&amp;IFERROR(MID(_xlfn.TEXTAFTER(AN36," ",3),1,1),"")&amp;IFERROR(MID(_xlfn.TEXTAFTER(AN36," ",4),1,1),"")))</f>
        <v>None</v>
      </c>
      <c r="AL36" s="326" t="s">
        <v>73</v>
      </c>
      <c r="AM36" s="327" t="s">
        <v>79</v>
      </c>
      <c r="AN36" s="328"/>
      <c r="AO36" s="329"/>
      <c r="AP36" s="329"/>
      <c r="AQ36" s="327" t="s">
        <v>79</v>
      </c>
      <c r="AR36" s="330"/>
      <c r="AS36" s="330"/>
      <c r="AT36" s="326" t="s">
        <v>265</v>
      </c>
      <c r="AU36" s="326">
        <v>1</v>
      </c>
      <c r="AV36" s="331" t="s">
        <v>266</v>
      </c>
      <c r="AW36" s="326" t="s">
        <v>83</v>
      </c>
      <c r="AX36" s="326">
        <v>1</v>
      </c>
      <c r="AY36" s="331"/>
      <c r="BC36" s="343">
        <v>78</v>
      </c>
      <c r="BD36" s="344">
        <f t="shared" si="10"/>
        <v>0</v>
      </c>
      <c r="BE36" s="345">
        <f t="shared" si="11"/>
        <v>0</v>
      </c>
      <c r="BF36" s="358">
        <f t="shared" ref="BF36" si="119">IF(OR($BC$2="None",RIGHT(Category,2)&lt;&gt;"NY"),$BG36,INDEX($CF$7:$CG$39,MATCH($BC36,$BC$7:$BC$39,0),MATCH($BC$2,$CF$6:$CG$6,0)))</f>
        <v>0</v>
      </c>
      <c r="BG36" s="347">
        <v>0</v>
      </c>
      <c r="BH36" s="348">
        <f t="shared" si="110"/>
        <v>8.5000000000000006E-2</v>
      </c>
      <c r="BI36" s="349">
        <f t="shared" si="110"/>
        <v>0.08</v>
      </c>
      <c r="BJ36" s="348">
        <f t="shared" si="110"/>
        <v>0.11</v>
      </c>
      <c r="BK36" s="349">
        <f t="shared" si="110"/>
        <v>0.105</v>
      </c>
      <c r="BL36" s="348">
        <f t="shared" si="110"/>
        <v>8.2500000000000004E-2</v>
      </c>
      <c r="BM36" s="349">
        <f t="shared" si="110"/>
        <v>7.7499999999999999E-2</v>
      </c>
      <c r="BN36" s="348">
        <f t="shared" si="110"/>
        <v>7.8E-2</v>
      </c>
      <c r="BO36" s="349">
        <f t="shared" si="110"/>
        <v>7.2999999999999995E-2</v>
      </c>
      <c r="BP36" s="348">
        <f t="shared" si="110"/>
        <v>8.5000000000000006E-2</v>
      </c>
      <c r="BQ36" s="349">
        <f t="shared" si="110"/>
        <v>0.08</v>
      </c>
      <c r="BR36" s="348">
        <f t="shared" si="110"/>
        <v>8.0500000000000002E-2</v>
      </c>
      <c r="BS36" s="349">
        <f t="shared" si="110"/>
        <v>7.5499999999999998E-2</v>
      </c>
      <c r="BT36" s="348">
        <f t="shared" si="74"/>
        <v>8.9000000000000024E-2</v>
      </c>
      <c r="BU36" s="349">
        <f t="shared" si="74"/>
        <v>8.4000000000000033E-2</v>
      </c>
      <c r="BV36" s="348">
        <f t="shared" si="74"/>
        <v>8.3000000000000032E-2</v>
      </c>
      <c r="BW36" s="349">
        <f t="shared" si="74"/>
        <v>7.8000000000000028E-2</v>
      </c>
      <c r="BX36" s="348">
        <f t="shared" si="74"/>
        <v>9.1500000000000026E-2</v>
      </c>
      <c r="BY36" s="349">
        <f t="shared" si="74"/>
        <v>8.6500000000000021E-2</v>
      </c>
      <c r="BZ36" s="348">
        <f t="shared" si="74"/>
        <v>8.5500000000000034E-2</v>
      </c>
      <c r="CA36" s="349">
        <f t="shared" si="74"/>
        <v>8.050000000000003E-2</v>
      </c>
      <c r="CB36" s="350">
        <f t="shared" si="111"/>
        <v>8.5000000000000006E-2</v>
      </c>
      <c r="CC36" s="351">
        <f t="shared" si="111"/>
        <v>0.08</v>
      </c>
      <c r="CD36" s="350">
        <f t="shared" si="111"/>
        <v>0.06</v>
      </c>
      <c r="CE36" s="351">
        <f t="shared" si="111"/>
        <v>5.5E-2</v>
      </c>
      <c r="CF36" s="366">
        <f t="shared" si="103"/>
        <v>7.4500000000000025E-2</v>
      </c>
      <c r="CG36" s="367">
        <f t="shared" si="103"/>
        <v>6.950000000000002E-2</v>
      </c>
    </row>
    <row r="37" spans="2:85" ht="14.4" x14ac:dyDescent="0.3">
      <c r="B37" s="316" t="s">
        <v>332</v>
      </c>
      <c r="C37" s="317">
        <f t="shared" ref="C37" si="120">IF(LEFT(INDEX($AT$3:$AT$51,MATCH($B37,$AJ$3:$AJ$51,0),1),1)="C",IF(VLOOKUP(State,Compact,3,FALSE)="Y",INT(MID(INDEX($AT$3:$AT$51,MATCH($B37,$AJ$3:$AJ$51,0),1),3,1)),IF(State="CA",INT(RIGHT(INDEX($AT$3:$AT$51,MATCH($B37,$AJ$3:$AJ$51,0),1),1)),INDEX($AU$3:$AU$51,MATCH($B37,$AJ$3:$AJ$51,0),1))),IF(AND(VLOOKUP(State,Compact,2,FALSE)="Y",INDEX($AT$3:$AT$51,MATCH($B37,$AJ$3:$AJ$51,0),1)&lt;&gt;"Standard",INDEX($AT$3:$AT$51,MATCH($B37,$AJ$3:$AJ$51,0),1)&lt;&gt;"Variable"),INT(RIGHT(INDEX($AT$3:$AT$51,MATCH($B37,$AJ$3:$AJ$51,0),1),1)),INDEX($AU$3:$AU$51,MATCH($B37,$AJ$3:$AJ$51,0),1)))</f>
        <v>7</v>
      </c>
      <c r="D37" s="319">
        <v>4</v>
      </c>
      <c r="E37" s="317">
        <f t="shared" ref="E37" si="121">IF(AND(INDEX($AW$3:$AW$51,MATCH($B37,$AJ$3:$AJ$51,0),1)&lt;&gt;"Standard",State="CA"),INT(RIGHT(INDEX($AW$3:$AW$51,MATCH($B37,$AJ$3:$AJ$51,0),1),1)),INDEX($AX$3:$AX$51,MATCH($B37,$AJ$3:$AJ$51,0),1))</f>
        <v>3</v>
      </c>
      <c r="F37" s="319">
        <v>1</v>
      </c>
      <c r="G37" s="319" t="s">
        <v>241</v>
      </c>
      <c r="H37" s="319">
        <v>8</v>
      </c>
      <c r="I37" s="319">
        <v>4</v>
      </c>
      <c r="J37" s="319">
        <v>3</v>
      </c>
      <c r="K37" s="319">
        <v>5</v>
      </c>
      <c r="L37" s="317" cm="1">
        <f t="array" ref="L37">INDEX($AO$3:$AP$51,MATCH($B37,$AJ$3:$AJ$51,0),INDEX($AJ$58:$AJ$63,MATCH(LivBen,$AI$58:$AI$63,0),1))</f>
        <v>1</v>
      </c>
      <c r="M37" s="319">
        <v>1</v>
      </c>
      <c r="N37" s="319">
        <v>1</v>
      </c>
      <c r="O37" s="319">
        <v>1</v>
      </c>
      <c r="P37" s="368">
        <v>1</v>
      </c>
      <c r="Q37" s="319">
        <v>2</v>
      </c>
      <c r="R37" s="319" t="s">
        <v>223</v>
      </c>
      <c r="S37" s="318" t="s">
        <v>223</v>
      </c>
      <c r="T37" s="319">
        <v>3</v>
      </c>
      <c r="U37" s="319">
        <v>3</v>
      </c>
      <c r="Y37" s="314" t="s">
        <v>343</v>
      </c>
      <c r="Z37" s="292" t="s">
        <v>101</v>
      </c>
      <c r="AG37" s="325" t="s">
        <v>341</v>
      </c>
      <c r="AH37" s="326" t="str">
        <f t="shared" si="117"/>
        <v>ShPPS</v>
      </c>
      <c r="AI37" s="326" t="s">
        <v>342</v>
      </c>
      <c r="AJ37" s="325" t="s">
        <v>267</v>
      </c>
      <c r="AK37" s="326" t="str">
        <f t="shared" si="118"/>
        <v>LIC</v>
      </c>
      <c r="AL37" s="326" t="s">
        <v>241</v>
      </c>
      <c r="AM37" s="327" t="s">
        <v>344</v>
      </c>
      <c r="AN37" s="328"/>
      <c r="AO37" s="329">
        <v>1</v>
      </c>
      <c r="AP37" s="329">
        <v>1</v>
      </c>
      <c r="AQ37" s="327" t="s">
        <v>272</v>
      </c>
      <c r="AR37" s="330" t="s">
        <v>274</v>
      </c>
      <c r="AS37" s="257"/>
      <c r="AT37" s="326" t="s">
        <v>265</v>
      </c>
      <c r="AU37" s="326">
        <v>1</v>
      </c>
      <c r="AV37" s="331" t="s">
        <v>266</v>
      </c>
      <c r="AW37" s="326" t="s">
        <v>83</v>
      </c>
      <c r="AX37" s="326">
        <v>1</v>
      </c>
      <c r="AY37" s="331"/>
      <c r="BC37" s="343">
        <v>79</v>
      </c>
      <c r="BD37" s="344">
        <f t="shared" si="10"/>
        <v>0</v>
      </c>
      <c r="BE37" s="345">
        <f t="shared" si="11"/>
        <v>0</v>
      </c>
      <c r="BF37" s="358">
        <f t="shared" ref="BF37" si="122">IF(OR($BC$2="None",RIGHT(Category,2)&lt;&gt;"NY"),$BG37,INDEX($CF$7:$CG$39,MATCH($BC37,$BC$7:$BC$39,0),MATCH($BC$2,$CF$6:$CG$6,0)))</f>
        <v>0</v>
      </c>
      <c r="BG37" s="347">
        <v>0</v>
      </c>
      <c r="BH37" s="348">
        <f t="shared" si="110"/>
        <v>8.5000000000000006E-2</v>
      </c>
      <c r="BI37" s="349">
        <f t="shared" si="110"/>
        <v>0.08</v>
      </c>
      <c r="BJ37" s="348">
        <f t="shared" si="110"/>
        <v>0.11</v>
      </c>
      <c r="BK37" s="349">
        <f t="shared" si="110"/>
        <v>0.105</v>
      </c>
      <c r="BL37" s="348">
        <f t="shared" si="110"/>
        <v>8.2500000000000004E-2</v>
      </c>
      <c r="BM37" s="349">
        <f t="shared" si="110"/>
        <v>7.7499999999999999E-2</v>
      </c>
      <c r="BN37" s="348">
        <f t="shared" si="110"/>
        <v>7.8E-2</v>
      </c>
      <c r="BO37" s="349">
        <f t="shared" si="110"/>
        <v>7.2999999999999995E-2</v>
      </c>
      <c r="BP37" s="348">
        <f t="shared" si="110"/>
        <v>8.5000000000000006E-2</v>
      </c>
      <c r="BQ37" s="349">
        <f t="shared" si="110"/>
        <v>0.08</v>
      </c>
      <c r="BR37" s="348">
        <f t="shared" si="110"/>
        <v>8.0500000000000002E-2</v>
      </c>
      <c r="BS37" s="349">
        <f t="shared" si="110"/>
        <v>7.5499999999999998E-2</v>
      </c>
      <c r="BT37" s="348">
        <f t="shared" si="74"/>
        <v>9.0000000000000024E-2</v>
      </c>
      <c r="BU37" s="349">
        <f t="shared" si="74"/>
        <v>8.5000000000000034E-2</v>
      </c>
      <c r="BV37" s="348">
        <f t="shared" si="74"/>
        <v>8.4000000000000033E-2</v>
      </c>
      <c r="BW37" s="349">
        <f t="shared" si="74"/>
        <v>7.9000000000000029E-2</v>
      </c>
      <c r="BX37" s="348">
        <f t="shared" si="74"/>
        <v>9.2500000000000027E-2</v>
      </c>
      <c r="BY37" s="349">
        <f t="shared" si="74"/>
        <v>8.7500000000000022E-2</v>
      </c>
      <c r="BZ37" s="348">
        <f>BZ36+0.001</f>
        <v>8.6500000000000035E-2</v>
      </c>
      <c r="CA37" s="349">
        <f>CA36+0.001</f>
        <v>8.1500000000000031E-2</v>
      </c>
      <c r="CB37" s="350">
        <f t="shared" si="111"/>
        <v>8.5000000000000006E-2</v>
      </c>
      <c r="CC37" s="351">
        <f t="shared" si="111"/>
        <v>0.08</v>
      </c>
      <c r="CD37" s="350">
        <f t="shared" si="111"/>
        <v>0.06</v>
      </c>
      <c r="CE37" s="351">
        <f t="shared" si="111"/>
        <v>5.5E-2</v>
      </c>
      <c r="CF37" s="366">
        <f t="shared" si="103"/>
        <v>7.5500000000000025E-2</v>
      </c>
      <c r="CG37" s="367">
        <f t="shared" si="103"/>
        <v>7.0500000000000021E-2</v>
      </c>
    </row>
    <row r="38" spans="2:85" ht="14.4" x14ac:dyDescent="0.3">
      <c r="B38" s="316" t="s">
        <v>326</v>
      </c>
      <c r="C38" s="317">
        <f t="shared" ref="C38" si="123">IF(LEFT(INDEX($AT$3:$AT$51,MATCH($B38,$AJ$3:$AJ$51,0),1),1)="C",IF(VLOOKUP(State,Compact,3,FALSE)="Y",INT(MID(INDEX($AT$3:$AT$51,MATCH($B38,$AJ$3:$AJ$51,0),1),3,1)),IF(State="CA",INT(RIGHT(INDEX($AT$3:$AT$51,MATCH($B38,$AJ$3:$AJ$51,0),1),1)),INDEX($AU$3:$AU$51,MATCH($B38,$AJ$3:$AJ$51,0),1))),IF(AND(VLOOKUP(State,Compact,2,FALSE)="Y",INDEX($AT$3:$AT$51,MATCH($B38,$AJ$3:$AJ$51,0),1)&lt;&gt;"Standard",INDEX($AT$3:$AT$51,MATCH($B38,$AJ$3:$AJ$51,0),1)&lt;&gt;"Variable"),INT(RIGHT(INDEX($AT$3:$AT$51,MATCH($B38,$AJ$3:$AJ$51,0),1),1)),INDEX($AU$3:$AU$51,MATCH($B38,$AJ$3:$AJ$51,0),1)))</f>
        <v>2</v>
      </c>
      <c r="D38" s="319">
        <v>4</v>
      </c>
      <c r="E38" s="317">
        <f t="shared" ref="E38" si="124">IF(AND(INDEX($AW$3:$AW$51,MATCH($B38,$AJ$3:$AJ$51,0),1)&lt;&gt;"Standard",State="CA"),INT(RIGHT(INDEX($AW$3:$AW$51,MATCH($B38,$AJ$3:$AJ$51,0),1),1)),INDEX($AX$3:$AX$51,MATCH($B38,$AJ$3:$AJ$51,0),1))</f>
        <v>3</v>
      </c>
      <c r="F38" s="319">
        <v>1</v>
      </c>
      <c r="G38" s="319" t="s">
        <v>241</v>
      </c>
      <c r="H38" s="319">
        <v>7</v>
      </c>
      <c r="I38" s="319">
        <v>2</v>
      </c>
      <c r="J38" s="319">
        <v>3</v>
      </c>
      <c r="K38" s="319">
        <v>5</v>
      </c>
      <c r="L38" s="317" cm="1">
        <f t="array" ref="L38">INDEX($AO$3:$AP$51,MATCH($B38,$AJ$3:$AJ$51,0),INDEX($AJ$58:$AJ$63,MATCH(LivBen,$AI$58:$AI$63,0),1))</f>
        <v>3</v>
      </c>
      <c r="M38" s="319">
        <v>0</v>
      </c>
      <c r="N38" s="319">
        <v>1</v>
      </c>
      <c r="O38" s="319">
        <v>1</v>
      </c>
      <c r="P38" s="368">
        <v>1</v>
      </c>
      <c r="Q38" s="319">
        <v>2</v>
      </c>
      <c r="R38" s="319" t="s">
        <v>223</v>
      </c>
      <c r="S38" s="318" t="s">
        <v>223</v>
      </c>
      <c r="T38" s="319">
        <v>1</v>
      </c>
      <c r="U38" s="319">
        <v>1</v>
      </c>
      <c r="Y38" s="131" t="s">
        <v>345</v>
      </c>
      <c r="Z38" s="373">
        <v>70.5</v>
      </c>
      <c r="AG38" s="325" t="s">
        <v>341</v>
      </c>
      <c r="AH38" s="326" t="str">
        <f t="shared" si="117"/>
        <v>ShPPS</v>
      </c>
      <c r="AI38" s="326" t="s">
        <v>342</v>
      </c>
      <c r="AJ38" s="325" t="s">
        <v>275</v>
      </c>
      <c r="AK38" s="326" t="str">
        <f t="shared" si="118"/>
        <v>LIC</v>
      </c>
      <c r="AL38" s="326" t="s">
        <v>241</v>
      </c>
      <c r="AM38" s="327" t="s">
        <v>344</v>
      </c>
      <c r="AN38" s="328"/>
      <c r="AO38" s="329">
        <v>2</v>
      </c>
      <c r="AP38" s="329">
        <v>2</v>
      </c>
      <c r="AQ38" s="327" t="s">
        <v>272</v>
      </c>
      <c r="AR38" s="330" t="s">
        <v>274</v>
      </c>
      <c r="AS38" s="257"/>
      <c r="AT38" s="326" t="s">
        <v>265</v>
      </c>
      <c r="AU38" s="326">
        <v>1</v>
      </c>
      <c r="AV38" s="331" t="s">
        <v>266</v>
      </c>
      <c r="AW38" s="326" t="s">
        <v>83</v>
      </c>
      <c r="AX38" s="326">
        <v>1</v>
      </c>
      <c r="AY38" s="331"/>
      <c r="BC38" s="343">
        <v>80</v>
      </c>
      <c r="BD38" s="344">
        <f t="shared" si="10"/>
        <v>0</v>
      </c>
      <c r="BE38" s="345">
        <f t="shared" si="11"/>
        <v>0</v>
      </c>
      <c r="BF38" s="358">
        <f t="shared" ref="BF38" si="125">IF(OR($BC$2="None",RIGHT(Category,2)&lt;&gt;"NY"),$BG38,INDEX($CF$7:$CG$39,MATCH($BC38,$BC$7:$BC$39,0),MATCH($BC$2,$CF$6:$CG$6,0)))</f>
        <v>0</v>
      </c>
      <c r="BG38" s="347">
        <v>0</v>
      </c>
      <c r="BH38" s="348">
        <f t="shared" si="110"/>
        <v>8.5000000000000006E-2</v>
      </c>
      <c r="BI38" s="349">
        <f t="shared" si="110"/>
        <v>0.08</v>
      </c>
      <c r="BJ38" s="348">
        <f t="shared" si="110"/>
        <v>0.11</v>
      </c>
      <c r="BK38" s="349">
        <f t="shared" si="110"/>
        <v>0.105</v>
      </c>
      <c r="BL38" s="348">
        <f t="shared" si="110"/>
        <v>8.2500000000000004E-2</v>
      </c>
      <c r="BM38" s="349">
        <f t="shared" si="110"/>
        <v>7.7499999999999999E-2</v>
      </c>
      <c r="BN38" s="348">
        <f t="shared" si="110"/>
        <v>7.8E-2</v>
      </c>
      <c r="BO38" s="349">
        <f t="shared" si="110"/>
        <v>7.2999999999999995E-2</v>
      </c>
      <c r="BP38" s="348">
        <f t="shared" si="110"/>
        <v>8.5000000000000006E-2</v>
      </c>
      <c r="BQ38" s="349">
        <f t="shared" si="110"/>
        <v>0.08</v>
      </c>
      <c r="BR38" s="348">
        <f t="shared" si="110"/>
        <v>8.0500000000000002E-2</v>
      </c>
      <c r="BS38" s="349">
        <f t="shared" si="110"/>
        <v>7.5499999999999998E-2</v>
      </c>
      <c r="BT38" s="348">
        <f t="shared" si="74"/>
        <v>9.1000000000000025E-2</v>
      </c>
      <c r="BU38" s="349">
        <f t="shared" si="74"/>
        <v>8.6000000000000035E-2</v>
      </c>
      <c r="BV38" s="348">
        <f t="shared" si="74"/>
        <v>8.5000000000000034E-2</v>
      </c>
      <c r="BW38" s="349">
        <f t="shared" si="74"/>
        <v>8.0000000000000029E-2</v>
      </c>
      <c r="BX38" s="348">
        <f t="shared" si="74"/>
        <v>9.3500000000000028E-2</v>
      </c>
      <c r="BY38" s="349">
        <f t="shared" si="74"/>
        <v>8.8500000000000023E-2</v>
      </c>
      <c r="BZ38" s="348">
        <f>BZ37+0.001</f>
        <v>8.7500000000000036E-2</v>
      </c>
      <c r="CA38" s="349">
        <f>CA37+0.001</f>
        <v>8.2500000000000032E-2</v>
      </c>
      <c r="CB38" s="350">
        <f t="shared" si="111"/>
        <v>8.5000000000000006E-2</v>
      </c>
      <c r="CC38" s="351">
        <f t="shared" si="111"/>
        <v>0.08</v>
      </c>
      <c r="CD38" s="350">
        <f t="shared" si="111"/>
        <v>0.06</v>
      </c>
      <c r="CE38" s="351">
        <f t="shared" si="111"/>
        <v>5.5E-2</v>
      </c>
      <c r="CF38" s="366">
        <f t="shared" si="103"/>
        <v>7.6500000000000026E-2</v>
      </c>
      <c r="CG38" s="367">
        <f t="shared" si="103"/>
        <v>7.1500000000000022E-2</v>
      </c>
    </row>
    <row r="39" spans="2:85" ht="14.4" x14ac:dyDescent="0.3">
      <c r="B39" s="316" t="s">
        <v>246</v>
      </c>
      <c r="C39" s="317">
        <f t="shared" ref="C39" si="126">IF(LEFT(INDEX($AT$3:$AT$51,MATCH($B39,$AJ$3:$AJ$51,0),1),1)="C",IF(VLOOKUP(State,Compact,3,FALSE)="Y",INT(MID(INDEX($AT$3:$AT$51,MATCH($B39,$AJ$3:$AJ$51,0),1),3,1)),IF(State="CA",INT(RIGHT(INDEX($AT$3:$AT$51,MATCH($B39,$AJ$3:$AJ$51,0),1),1)),INDEX($AU$3:$AU$51,MATCH($B39,$AJ$3:$AJ$51,0),1))),IF(AND(VLOOKUP(State,Compact,2,FALSE)="Y",INDEX($AT$3:$AT$51,MATCH($B39,$AJ$3:$AJ$51,0),1)&lt;&gt;"Standard",INDEX($AT$3:$AT$51,MATCH($B39,$AJ$3:$AJ$51,0),1)&lt;&gt;"Variable"),INT(RIGHT(INDEX($AT$3:$AT$51,MATCH($B39,$AJ$3:$AJ$51,0),1),1)),INDEX($AU$3:$AU$51,MATCH($B39,$AJ$3:$AJ$51,0),1)))</f>
        <v>4</v>
      </c>
      <c r="D39" s="319">
        <v>4</v>
      </c>
      <c r="E39" s="317">
        <f t="shared" ref="E39" si="127">IF(AND(INDEX($AW$3:$AW$51,MATCH($B39,$AJ$3:$AJ$51,0),1)&lt;&gt;"Standard",State="CA"),INT(RIGHT(INDEX($AW$3:$AW$51,MATCH($B39,$AJ$3:$AJ$51,0),1),1)),INDEX($AX$3:$AX$51,MATCH($B39,$AJ$3:$AJ$51,0),1))</f>
        <v>3</v>
      </c>
      <c r="F39" s="319">
        <v>1</v>
      </c>
      <c r="G39" s="319" t="s">
        <v>73</v>
      </c>
      <c r="H39" s="319">
        <v>8</v>
      </c>
      <c r="I39" s="319">
        <v>4</v>
      </c>
      <c r="J39" s="319">
        <v>2</v>
      </c>
      <c r="K39" s="319">
        <v>1</v>
      </c>
      <c r="L39" s="317" cm="1">
        <f t="array" ref="L39">INDEX($AO$3:$AP$51,MATCH($B39,$AJ$3:$AJ$51,0),INDEX($AJ$58:$AJ$63,MATCH(LivBen,$AI$58:$AI$63,0),1))</f>
        <v>0</v>
      </c>
      <c r="M39" s="319">
        <v>0</v>
      </c>
      <c r="N39" s="319">
        <v>1</v>
      </c>
      <c r="O39" s="319">
        <v>1</v>
      </c>
      <c r="P39" s="368">
        <v>1</v>
      </c>
      <c r="Q39" s="319">
        <v>1</v>
      </c>
      <c r="R39" s="319" t="s">
        <v>282</v>
      </c>
      <c r="S39" s="318" t="s">
        <v>223</v>
      </c>
      <c r="T39" s="319">
        <v>1</v>
      </c>
      <c r="U39" s="319">
        <v>1</v>
      </c>
      <c r="Y39" s="131" t="s">
        <v>92</v>
      </c>
      <c r="Z39" s="373">
        <v>72</v>
      </c>
      <c r="AG39" s="325" t="s">
        <v>341</v>
      </c>
      <c r="AH39" s="326" t="str">
        <f t="shared" si="117"/>
        <v>ShPPS</v>
      </c>
      <c r="AI39" s="326" t="s">
        <v>342</v>
      </c>
      <c r="AJ39" s="325" t="s">
        <v>281</v>
      </c>
      <c r="AK39" s="326" t="str">
        <f t="shared" si="118"/>
        <v>None</v>
      </c>
      <c r="AL39" s="326" t="s">
        <v>73</v>
      </c>
      <c r="AM39" s="327" t="s">
        <v>79</v>
      </c>
      <c r="AN39" s="328"/>
      <c r="AO39" s="329"/>
      <c r="AP39" s="329"/>
      <c r="AQ39" s="327" t="s">
        <v>79</v>
      </c>
      <c r="AR39" s="330"/>
      <c r="AS39" s="257"/>
      <c r="AT39" s="326" t="s">
        <v>83</v>
      </c>
      <c r="AU39" s="326">
        <v>3</v>
      </c>
      <c r="AV39" s="331"/>
      <c r="AW39" s="326" t="s">
        <v>83</v>
      </c>
      <c r="AX39" s="326">
        <v>3</v>
      </c>
      <c r="AY39" s="331"/>
      <c r="BC39" s="374">
        <v>100</v>
      </c>
      <c r="BD39" s="375">
        <f t="shared" si="10"/>
        <v>0</v>
      </c>
      <c r="BE39" s="376">
        <f t="shared" si="11"/>
        <v>0</v>
      </c>
      <c r="BF39" s="377">
        <f t="shared" ref="BF39" si="128">IF(OR($BC$2="None",RIGHT(Category,2)&lt;&gt;"NY"),$BG39,INDEX($CF$7:$CG$39,MATCH($BC39,$BC$7:$BC$39,0),MATCH($BC$2,$CF$6:$CG$6,0)))</f>
        <v>0</v>
      </c>
      <c r="BG39" s="378">
        <v>0</v>
      </c>
      <c r="BH39" s="379">
        <f t="shared" si="110"/>
        <v>8.5000000000000006E-2</v>
      </c>
      <c r="BI39" s="380">
        <f t="shared" si="110"/>
        <v>0.08</v>
      </c>
      <c r="BJ39" s="379">
        <f t="shared" si="110"/>
        <v>0.11</v>
      </c>
      <c r="BK39" s="380">
        <f t="shared" si="110"/>
        <v>0.105</v>
      </c>
      <c r="BL39" s="379">
        <f t="shared" si="110"/>
        <v>8.2500000000000004E-2</v>
      </c>
      <c r="BM39" s="380">
        <f t="shared" si="110"/>
        <v>7.7499999999999999E-2</v>
      </c>
      <c r="BN39" s="379">
        <f t="shared" si="110"/>
        <v>7.8E-2</v>
      </c>
      <c r="BO39" s="380">
        <f t="shared" si="110"/>
        <v>7.2999999999999995E-2</v>
      </c>
      <c r="BP39" s="379">
        <f t="shared" si="110"/>
        <v>8.5000000000000006E-2</v>
      </c>
      <c r="BQ39" s="380">
        <f t="shared" si="110"/>
        <v>0.08</v>
      </c>
      <c r="BR39" s="379">
        <f t="shared" si="110"/>
        <v>8.0500000000000002E-2</v>
      </c>
      <c r="BS39" s="380">
        <f t="shared" si="110"/>
        <v>7.5499999999999998E-2</v>
      </c>
      <c r="BT39" s="379">
        <f t="shared" si="110"/>
        <v>9.1000000000000025E-2</v>
      </c>
      <c r="BU39" s="380">
        <f t="shared" si="110"/>
        <v>8.6000000000000035E-2</v>
      </c>
      <c r="BV39" s="379">
        <f t="shared" si="110"/>
        <v>8.5000000000000034E-2</v>
      </c>
      <c r="BW39" s="380">
        <f t="shared" si="110"/>
        <v>8.0000000000000029E-2</v>
      </c>
      <c r="BX39" s="379">
        <f t="shared" ref="BX39:CA39" si="129">BX38</f>
        <v>9.3500000000000028E-2</v>
      </c>
      <c r="BY39" s="380">
        <f t="shared" si="129"/>
        <v>8.8500000000000023E-2</v>
      </c>
      <c r="BZ39" s="379">
        <f t="shared" si="129"/>
        <v>8.7500000000000036E-2</v>
      </c>
      <c r="CA39" s="380">
        <f t="shared" si="129"/>
        <v>8.2500000000000032E-2</v>
      </c>
      <c r="CB39" s="381">
        <f t="shared" si="111"/>
        <v>8.5000000000000006E-2</v>
      </c>
      <c r="CC39" s="382">
        <f t="shared" si="111"/>
        <v>0.08</v>
      </c>
      <c r="CD39" s="381">
        <f t="shared" si="111"/>
        <v>0.06</v>
      </c>
      <c r="CE39" s="382">
        <f t="shared" si="111"/>
        <v>5.5E-2</v>
      </c>
      <c r="CF39" s="383">
        <f>CF38</f>
        <v>7.6500000000000026E-2</v>
      </c>
      <c r="CG39" s="384">
        <f>CG38</f>
        <v>7.1500000000000022E-2</v>
      </c>
    </row>
    <row r="40" spans="2:85" ht="14.4" x14ac:dyDescent="0.3">
      <c r="B40" s="316" t="s">
        <v>340</v>
      </c>
      <c r="C40" s="317">
        <f t="shared" ref="C40" si="130">IF(LEFT(INDEX($AT$3:$AT$51,MATCH($B40,$AJ$3:$AJ$51,0),1),1)="C",IF(VLOOKUP(State,Compact,3,FALSE)="Y",INT(MID(INDEX($AT$3:$AT$51,MATCH($B40,$AJ$3:$AJ$51,0),1),3,1)),IF(State="CA",INT(RIGHT(INDEX($AT$3:$AT$51,MATCH($B40,$AJ$3:$AJ$51,0),1),1)),INDEX($AU$3:$AU$51,MATCH($B40,$AJ$3:$AJ$51,0),1))),IF(AND(VLOOKUP(State,Compact,2,FALSE)="Y",INDEX($AT$3:$AT$51,MATCH($B40,$AJ$3:$AJ$51,0),1)&lt;&gt;"Standard",INDEX($AT$3:$AT$51,MATCH($B40,$AJ$3:$AJ$51,0),1)&lt;&gt;"Variable"),INT(RIGHT(INDEX($AT$3:$AT$51,MATCH($B40,$AJ$3:$AJ$51,0),1),1)),INDEX($AU$3:$AU$51,MATCH($B40,$AJ$3:$AJ$51,0),1)))</f>
        <v>4</v>
      </c>
      <c r="D40" s="319">
        <v>4</v>
      </c>
      <c r="E40" s="317">
        <f t="shared" ref="E40" si="131">IF(AND(INDEX($AW$3:$AW$51,MATCH($B40,$AJ$3:$AJ$51,0),1)&lt;&gt;"Standard",State="CA"),INT(RIGHT(INDEX($AW$3:$AW$51,MATCH($B40,$AJ$3:$AJ$51,0),1),1)),INDEX($AX$3:$AX$51,MATCH($B40,$AJ$3:$AJ$51,0),1))</f>
        <v>3</v>
      </c>
      <c r="F40" s="319">
        <v>1</v>
      </c>
      <c r="G40" s="319" t="s">
        <v>241</v>
      </c>
      <c r="H40" s="319">
        <v>5</v>
      </c>
      <c r="I40" s="319">
        <v>3</v>
      </c>
      <c r="J40" s="319">
        <v>2</v>
      </c>
      <c r="K40" s="319">
        <v>1</v>
      </c>
      <c r="L40" s="317" cm="1">
        <f t="array" ref="L40">INDEX($AO$3:$AP$51,MATCH($B40,$AJ$3:$AJ$51,0),INDEX($AJ$58:$AJ$63,MATCH(LivBen,$AI$58:$AI$63,0),1))</f>
        <v>9</v>
      </c>
      <c r="M40" s="319">
        <v>0</v>
      </c>
      <c r="N40" s="319">
        <v>1</v>
      </c>
      <c r="O40" s="319">
        <v>1</v>
      </c>
      <c r="P40" s="368">
        <v>1</v>
      </c>
      <c r="Q40" s="319">
        <v>1</v>
      </c>
      <c r="R40" s="319" t="s">
        <v>282</v>
      </c>
      <c r="S40" s="318" t="s">
        <v>223</v>
      </c>
      <c r="T40" s="319">
        <v>1</v>
      </c>
      <c r="U40" s="319">
        <v>1</v>
      </c>
      <c r="Y40" s="131" t="s">
        <v>346</v>
      </c>
      <c r="Z40" s="373">
        <v>73</v>
      </c>
      <c r="AG40" s="325" t="s">
        <v>341</v>
      </c>
      <c r="AH40" s="326" t="str">
        <f t="shared" si="117"/>
        <v>ShPPS</v>
      </c>
      <c r="AI40" s="326" t="s">
        <v>342</v>
      </c>
      <c r="AJ40" s="325" t="s">
        <v>285</v>
      </c>
      <c r="AK40" s="326" t="str">
        <f t="shared" si="118"/>
        <v>None</v>
      </c>
      <c r="AL40" s="326" t="s">
        <v>73</v>
      </c>
      <c r="AM40" s="327" t="s">
        <v>79</v>
      </c>
      <c r="AN40" s="328"/>
      <c r="AO40" s="329"/>
      <c r="AP40" s="329"/>
      <c r="AQ40" s="327" t="s">
        <v>79</v>
      </c>
      <c r="AR40" s="330"/>
      <c r="AS40" s="257"/>
      <c r="AT40" s="326" t="s">
        <v>83</v>
      </c>
      <c r="AU40" s="326">
        <v>2</v>
      </c>
      <c r="AV40" s="331"/>
      <c r="AW40" s="326" t="s">
        <v>83</v>
      </c>
      <c r="AX40" s="326">
        <v>3</v>
      </c>
      <c r="AY40" s="331"/>
    </row>
    <row r="41" spans="2:85" ht="14.4" x14ac:dyDescent="0.3">
      <c r="B41" s="316" t="s">
        <v>335</v>
      </c>
      <c r="C41" s="317">
        <f t="shared" ref="C41" si="132">IF(LEFT(INDEX($AT$3:$AT$51,MATCH($B41,$AJ$3:$AJ$51,0),1),1)="C",IF(VLOOKUP(State,Compact,3,FALSE)="Y",INT(MID(INDEX($AT$3:$AT$51,MATCH($B41,$AJ$3:$AJ$51,0),1),3,1)),IF(State="CA",INT(RIGHT(INDEX($AT$3:$AT$51,MATCH($B41,$AJ$3:$AJ$51,0),1),1)),INDEX($AU$3:$AU$51,MATCH($B41,$AJ$3:$AJ$51,0),1))),IF(AND(VLOOKUP(State,Compact,2,FALSE)="Y",INDEX($AT$3:$AT$51,MATCH($B41,$AJ$3:$AJ$51,0),1)&lt;&gt;"Standard",INDEX($AT$3:$AT$51,MATCH($B41,$AJ$3:$AJ$51,0),1)&lt;&gt;"Variable"),INT(RIGHT(INDEX($AT$3:$AT$51,MATCH($B41,$AJ$3:$AJ$51,0),1),1)),INDEX($AU$3:$AU$51,MATCH($B41,$AJ$3:$AJ$51,0),1)))</f>
        <v>6</v>
      </c>
      <c r="D41" s="318">
        <v>4</v>
      </c>
      <c r="E41" s="317">
        <f t="shared" ref="E41" si="133">IF(AND(INDEX($AW$3:$AW$51,MATCH($B41,$AJ$3:$AJ$51,0),1)&lt;&gt;"Standard",State="CA"),INT(RIGHT(INDEX($AW$3:$AW$51,MATCH($B41,$AJ$3:$AJ$51,0),1),1)),INDEX($AX$3:$AX$51,MATCH($B41,$AJ$3:$AJ$51,0),1))</f>
        <v>2</v>
      </c>
      <c r="F41" s="318">
        <v>1</v>
      </c>
      <c r="G41" s="318" t="s">
        <v>73</v>
      </c>
      <c r="H41" s="319">
        <v>8</v>
      </c>
      <c r="I41" s="319">
        <v>4</v>
      </c>
      <c r="J41" s="318">
        <v>2</v>
      </c>
      <c r="K41" s="318">
        <v>1</v>
      </c>
      <c r="L41" s="317" cm="1">
        <f t="array" ref="L41">INDEX($AO$3:$AP$51,MATCH($B41,$AJ$3:$AJ$51,0),INDEX($AJ$58:$AJ$63,MATCH(LivBen,$AI$58:$AI$63,0),1))</f>
        <v>0</v>
      </c>
      <c r="M41" s="319">
        <v>0</v>
      </c>
      <c r="N41" s="318">
        <v>1</v>
      </c>
      <c r="O41" s="318">
        <v>1</v>
      </c>
      <c r="P41" s="320">
        <v>1</v>
      </c>
      <c r="Q41" s="318">
        <v>1</v>
      </c>
      <c r="R41" s="318" t="s">
        <v>282</v>
      </c>
      <c r="S41" s="318" t="s">
        <v>223</v>
      </c>
      <c r="T41" s="318">
        <v>1</v>
      </c>
      <c r="U41" s="318">
        <v>1</v>
      </c>
      <c r="Y41" s="385" t="s">
        <v>347</v>
      </c>
      <c r="Z41" s="386">
        <v>75</v>
      </c>
      <c r="AG41" s="325" t="s">
        <v>341</v>
      </c>
      <c r="AH41" s="326" t="str">
        <f t="shared" si="117"/>
        <v>ShPPS</v>
      </c>
      <c r="AI41" s="326" t="s">
        <v>342</v>
      </c>
      <c r="AJ41" s="325" t="s">
        <v>287</v>
      </c>
      <c r="AK41" s="326" t="str">
        <f t="shared" si="118"/>
        <v>LIC</v>
      </c>
      <c r="AL41" s="326" t="s">
        <v>241</v>
      </c>
      <c r="AM41" s="327" t="s">
        <v>344</v>
      </c>
      <c r="AN41" s="328"/>
      <c r="AO41" s="329">
        <v>1</v>
      </c>
      <c r="AP41" s="329">
        <v>1</v>
      </c>
      <c r="AQ41" s="327" t="s">
        <v>272</v>
      </c>
      <c r="AR41" s="330" t="s">
        <v>274</v>
      </c>
      <c r="AS41" s="257"/>
      <c r="AT41" s="326" t="s">
        <v>83</v>
      </c>
      <c r="AU41" s="326">
        <v>2</v>
      </c>
      <c r="AV41" s="331"/>
      <c r="AW41" s="326" t="s">
        <v>83</v>
      </c>
      <c r="AX41" s="326">
        <v>3</v>
      </c>
      <c r="AY41" s="331"/>
    </row>
    <row r="42" spans="2:85" x14ac:dyDescent="0.3">
      <c r="B42" s="316" t="s">
        <v>336</v>
      </c>
      <c r="C42" s="317">
        <f t="shared" ref="C42" si="134">IF(LEFT(INDEX($AT$3:$AT$51,MATCH($B42,$AJ$3:$AJ$51,0),1),1)="C",IF(VLOOKUP(State,Compact,3,FALSE)="Y",INT(MID(INDEX($AT$3:$AT$51,MATCH($B42,$AJ$3:$AJ$51,0),1),3,1)),IF(State="CA",INT(RIGHT(INDEX($AT$3:$AT$51,MATCH($B42,$AJ$3:$AJ$51,0),1),1)),INDEX($AU$3:$AU$51,MATCH($B42,$AJ$3:$AJ$51,0),1))),IF(AND(VLOOKUP(State,Compact,2,FALSE)="Y",INDEX($AT$3:$AT$51,MATCH($B42,$AJ$3:$AJ$51,0),1)&lt;&gt;"Standard",INDEX($AT$3:$AT$51,MATCH($B42,$AJ$3:$AJ$51,0),1)&lt;&gt;"Variable"),INT(RIGHT(INDEX($AT$3:$AT$51,MATCH($B42,$AJ$3:$AJ$51,0),1),1)),INDEX($AU$3:$AU$51,MATCH($B42,$AJ$3:$AJ$51,0),1)))</f>
        <v>5</v>
      </c>
      <c r="D42" s="318">
        <v>5</v>
      </c>
      <c r="E42" s="317">
        <f t="shared" ref="E42" si="135">IF(AND(INDEX($AW$3:$AW$51,MATCH($B42,$AJ$3:$AJ$51,0),1)&lt;&gt;"Standard",State="CA"),INT(RIGHT(INDEX($AW$3:$AW$51,MATCH($B42,$AJ$3:$AJ$51,0),1),1)),INDEX($AX$3:$AX$51,MATCH($B42,$AJ$3:$AJ$51,0),1))</f>
        <v>4</v>
      </c>
      <c r="F42" s="318">
        <v>1</v>
      </c>
      <c r="G42" s="318" t="s">
        <v>73</v>
      </c>
      <c r="H42" s="319">
        <v>8</v>
      </c>
      <c r="I42" s="319">
        <v>4</v>
      </c>
      <c r="J42" s="318">
        <v>2</v>
      </c>
      <c r="K42" s="318">
        <v>1</v>
      </c>
      <c r="L42" s="317" cm="1">
        <f t="array" ref="L42">INDEX($AO$3:$AP$51,MATCH($B42,$AJ$3:$AJ$51,0),INDEX($AJ$58:$AJ$63,MATCH(LivBen,$AI$58:$AI$63,0),1))</f>
        <v>0</v>
      </c>
      <c r="M42" s="319">
        <v>0</v>
      </c>
      <c r="N42" s="318">
        <v>1</v>
      </c>
      <c r="O42" s="318">
        <v>1</v>
      </c>
      <c r="P42" s="320">
        <v>2</v>
      </c>
      <c r="Q42" s="318">
        <v>1</v>
      </c>
      <c r="R42" s="318" t="s">
        <v>282</v>
      </c>
      <c r="S42" s="318" t="s">
        <v>223</v>
      </c>
      <c r="T42" s="318">
        <v>1</v>
      </c>
      <c r="U42" s="318">
        <v>1</v>
      </c>
      <c r="AG42" s="325" t="s">
        <v>341</v>
      </c>
      <c r="AH42" s="326" t="str">
        <f t="shared" si="117"/>
        <v>ShPPS</v>
      </c>
      <c r="AI42" s="326" t="s">
        <v>342</v>
      </c>
      <c r="AJ42" s="325" t="s">
        <v>289</v>
      </c>
      <c r="AK42" s="326" t="str">
        <f t="shared" si="118"/>
        <v>LIC</v>
      </c>
      <c r="AL42" s="326" t="s">
        <v>241</v>
      </c>
      <c r="AM42" s="327" t="s">
        <v>344</v>
      </c>
      <c r="AN42" s="328"/>
      <c r="AO42" s="329">
        <v>2</v>
      </c>
      <c r="AP42" s="329">
        <v>2</v>
      </c>
      <c r="AQ42" s="327" t="s">
        <v>272</v>
      </c>
      <c r="AR42" s="330" t="s">
        <v>274</v>
      </c>
      <c r="AS42" s="257"/>
      <c r="AT42" s="326" t="s">
        <v>83</v>
      </c>
      <c r="AU42" s="326">
        <v>2</v>
      </c>
      <c r="AV42" s="331"/>
      <c r="AW42" s="326" t="s">
        <v>83</v>
      </c>
      <c r="AX42" s="326">
        <v>3</v>
      </c>
      <c r="AY42" s="331"/>
    </row>
    <row r="43" spans="2:85" x14ac:dyDescent="0.3">
      <c r="B43" s="316" t="s">
        <v>338</v>
      </c>
      <c r="C43" s="317">
        <f t="shared" ref="C43" si="136">IF(LEFT(INDEX($AT$3:$AT$51,MATCH($B43,$AJ$3:$AJ$51,0),1),1)="C",IF(VLOOKUP(State,Compact,3,FALSE)="Y",INT(MID(INDEX($AT$3:$AT$51,MATCH($B43,$AJ$3:$AJ$51,0),1),3,1)),IF(State="CA",INT(RIGHT(INDEX($AT$3:$AT$51,MATCH($B43,$AJ$3:$AJ$51,0),1),1)),INDEX($AU$3:$AU$51,MATCH($B43,$AJ$3:$AJ$51,0),1))),IF(AND(VLOOKUP(State,Compact,2,FALSE)="Y",INDEX($AT$3:$AT$51,MATCH($B43,$AJ$3:$AJ$51,0),1)&lt;&gt;"Standard",INDEX($AT$3:$AT$51,MATCH($B43,$AJ$3:$AJ$51,0),1)&lt;&gt;"Variable"),INT(RIGHT(INDEX($AT$3:$AT$51,MATCH($B43,$AJ$3:$AJ$51,0),1),1)),INDEX($AU$3:$AU$51,MATCH($B43,$AJ$3:$AJ$51,0),1)))</f>
        <v>6</v>
      </c>
      <c r="D43" s="318">
        <v>4</v>
      </c>
      <c r="E43" s="317">
        <f t="shared" ref="E43" si="137">IF(AND(INDEX($AW$3:$AW$51,MATCH($B43,$AJ$3:$AJ$51,0),1)&lt;&gt;"Standard",State="CA"),INT(RIGHT(INDEX($AW$3:$AW$51,MATCH($B43,$AJ$3:$AJ$51,0),1),1)),INDEX($AX$3:$AX$51,MATCH($B43,$AJ$3:$AJ$51,0),1))</f>
        <v>2</v>
      </c>
      <c r="F43" s="318">
        <v>1</v>
      </c>
      <c r="G43" s="318" t="s">
        <v>241</v>
      </c>
      <c r="H43" s="319">
        <v>5</v>
      </c>
      <c r="I43" s="319">
        <v>3</v>
      </c>
      <c r="J43" s="318">
        <v>2</v>
      </c>
      <c r="K43" s="318">
        <v>1</v>
      </c>
      <c r="L43" s="317" cm="1">
        <f t="array" ref="L43">INDEX($AO$3:$AP$51,MATCH($B43,$AJ$3:$AJ$51,0),INDEX($AJ$58:$AJ$63,MATCH(LivBen,$AI$58:$AI$63,0),1))</f>
        <v>7</v>
      </c>
      <c r="M43" s="319">
        <v>0</v>
      </c>
      <c r="N43" s="318">
        <v>1</v>
      </c>
      <c r="O43" s="318">
        <v>1</v>
      </c>
      <c r="P43" s="320">
        <v>1</v>
      </c>
      <c r="Q43" s="318">
        <v>1</v>
      </c>
      <c r="R43" s="318" t="s">
        <v>282</v>
      </c>
      <c r="S43" s="318" t="s">
        <v>223</v>
      </c>
      <c r="T43" s="318">
        <v>1</v>
      </c>
      <c r="U43" s="318">
        <v>1</v>
      </c>
      <c r="Y43" s="369" t="s">
        <v>348</v>
      </c>
      <c r="Z43" s="369" t="s">
        <v>349</v>
      </c>
      <c r="AG43" s="336" t="s">
        <v>350</v>
      </c>
      <c r="AH43" s="337" t="str">
        <f t="shared" si="117"/>
        <v>ShIS</v>
      </c>
      <c r="AI43" s="337" t="s">
        <v>351</v>
      </c>
      <c r="AJ43" s="336" t="s">
        <v>291</v>
      </c>
      <c r="AK43" s="337" t="str">
        <f t="shared" si="118"/>
        <v>None</v>
      </c>
      <c r="AL43" s="337" t="s">
        <v>73</v>
      </c>
      <c r="AM43" s="338" t="s">
        <v>79</v>
      </c>
      <c r="AN43" s="339"/>
      <c r="AO43" s="340"/>
      <c r="AP43" s="340"/>
      <c r="AQ43" s="338" t="s">
        <v>79</v>
      </c>
      <c r="AR43" s="341"/>
      <c r="AS43" s="341"/>
      <c r="AT43" s="337" t="s">
        <v>265</v>
      </c>
      <c r="AU43" s="337">
        <v>1</v>
      </c>
      <c r="AV43" s="342" t="s">
        <v>266</v>
      </c>
      <c r="AW43" s="337" t="s">
        <v>352</v>
      </c>
      <c r="AX43" s="337">
        <v>5</v>
      </c>
      <c r="AY43" s="342" t="s">
        <v>353</v>
      </c>
      <c r="BC43" s="387" t="s">
        <v>354</v>
      </c>
    </row>
    <row r="44" spans="2:85" ht="14.4" x14ac:dyDescent="0.3">
      <c r="B44" s="316" t="s">
        <v>355</v>
      </c>
      <c r="C44" s="317">
        <f t="shared" ref="C44" si="138">IF(LEFT(INDEX($AT$3:$AT$51,MATCH($B44,$AJ$3:$AJ$51,0),1),1)="C",IF(VLOOKUP(State,Compact,3,FALSE)="Y",INT(MID(INDEX($AT$3:$AT$51,MATCH($B44,$AJ$3:$AJ$51,0),1),3,1)),IF(State="CA",INT(RIGHT(INDEX($AT$3:$AT$51,MATCH($B44,$AJ$3:$AJ$51,0),1),1)),INDEX($AU$3:$AU$51,MATCH($B44,$AJ$3:$AJ$51,0),1))),IF(AND(VLOOKUP(State,Compact,2,FALSE)="Y",INDEX($AT$3:$AT$51,MATCH($B44,$AJ$3:$AJ$51,0),1)&lt;&gt;"Standard",INDEX($AT$3:$AT$51,MATCH($B44,$AJ$3:$AJ$51,0),1)&lt;&gt;"Variable"),INT(RIGHT(INDEX($AT$3:$AT$51,MATCH($B44,$AJ$3:$AJ$51,0),1),1)),INDEX($AU$3:$AU$51,MATCH($B44,$AJ$3:$AJ$51,0),1)))</f>
        <v>3</v>
      </c>
      <c r="D44" s="318">
        <v>4</v>
      </c>
      <c r="E44" s="317">
        <f t="shared" ref="E44" si="139">IF(AND(INDEX($AW$3:$AW$51,MATCH($B44,$AJ$3:$AJ$51,0),1)&lt;&gt;"Standard",State="CA"),INT(RIGHT(INDEX($AW$3:$AW$51,MATCH($B44,$AJ$3:$AJ$51,0),1),1)),INDEX($AX$3:$AX$51,MATCH($B44,$AJ$3:$AJ$51,0),1))</f>
        <v>3</v>
      </c>
      <c r="F44" s="318">
        <v>2</v>
      </c>
      <c r="G44" s="318" t="s">
        <v>73</v>
      </c>
      <c r="H44" s="319">
        <v>8</v>
      </c>
      <c r="I44" s="319">
        <v>4</v>
      </c>
      <c r="J44" s="318">
        <v>3</v>
      </c>
      <c r="K44" s="318">
        <v>5</v>
      </c>
      <c r="L44" s="317" cm="1">
        <f t="array" ref="L44">INDEX($AO$3:$AP$51,MATCH($B44,$AJ$3:$AJ$51,0),INDEX($AJ$58:$AJ$63,MATCH(LivBen,$AI$58:$AI$63,0),1))</f>
        <v>0</v>
      </c>
      <c r="M44" s="319">
        <v>0</v>
      </c>
      <c r="N44" s="318">
        <v>1</v>
      </c>
      <c r="O44" s="318">
        <v>1</v>
      </c>
      <c r="P44" s="320">
        <v>1</v>
      </c>
      <c r="Q44" s="318">
        <v>1</v>
      </c>
      <c r="R44" s="318" t="s">
        <v>282</v>
      </c>
      <c r="S44" s="318" t="s">
        <v>223</v>
      </c>
      <c r="T44" s="318">
        <v>1</v>
      </c>
      <c r="U44" s="318">
        <v>1</v>
      </c>
      <c r="Y44" s="388">
        <v>0.875</v>
      </c>
      <c r="Z44" s="370" t="str">
        <f>IF(MWVBasis=Y44,"Yes","No")</f>
        <v>Yes</v>
      </c>
      <c r="AG44" s="336" t="s">
        <v>350</v>
      </c>
      <c r="AH44" s="337" t="str">
        <f t="shared" si="117"/>
        <v>ShIS</v>
      </c>
      <c r="AI44" s="337" t="s">
        <v>351</v>
      </c>
      <c r="AJ44" s="336" t="s">
        <v>295</v>
      </c>
      <c r="AK44" s="337" t="str">
        <f t="shared" si="118"/>
        <v>LIMLIPMF</v>
      </c>
      <c r="AL44" s="337" t="s">
        <v>241</v>
      </c>
      <c r="AM44" s="338" t="s">
        <v>250</v>
      </c>
      <c r="AN44" s="339" t="s">
        <v>251</v>
      </c>
      <c r="AO44" s="340">
        <v>3</v>
      </c>
      <c r="AP44" s="340">
        <v>4</v>
      </c>
      <c r="AQ44" s="338" t="s">
        <v>272</v>
      </c>
      <c r="AR44" s="341" t="s">
        <v>273</v>
      </c>
      <c r="AS44" s="341" t="s">
        <v>274</v>
      </c>
      <c r="AT44" s="337" t="s">
        <v>265</v>
      </c>
      <c r="AU44" s="337">
        <v>1</v>
      </c>
      <c r="AV44" s="342" t="s">
        <v>266</v>
      </c>
      <c r="AW44" s="337" t="s">
        <v>352</v>
      </c>
      <c r="AX44" s="337">
        <v>5</v>
      </c>
      <c r="AY44" s="342" t="s">
        <v>353</v>
      </c>
    </row>
    <row r="45" spans="2:85" ht="14.4" x14ac:dyDescent="0.3">
      <c r="B45" s="316" t="s">
        <v>290</v>
      </c>
      <c r="C45" s="317">
        <f t="shared" ref="C45" si="140">IF(LEFT(INDEX($AT$3:$AT$51,MATCH($B45,$AJ$3:$AJ$51,0),1),1)="C",IF(VLOOKUP(State,Compact,3,FALSE)="Y",INT(MID(INDEX($AT$3:$AT$51,MATCH($B45,$AJ$3:$AJ$51,0),1),3,1)),IF(State="CA",INT(RIGHT(INDEX($AT$3:$AT$51,MATCH($B45,$AJ$3:$AJ$51,0),1),1)),INDEX($AU$3:$AU$51,MATCH($B45,$AJ$3:$AJ$51,0),1))),IF(AND(VLOOKUP(State,Compact,2,FALSE)="Y",INDEX($AT$3:$AT$51,MATCH($B45,$AJ$3:$AJ$51,0),1)&lt;&gt;"Standard",INDEX($AT$3:$AT$51,MATCH($B45,$AJ$3:$AJ$51,0),1)&lt;&gt;"Variable"),INT(RIGHT(INDEX($AT$3:$AT$51,MATCH($B45,$AJ$3:$AJ$51,0),1),1)),INDEX($AU$3:$AU$51,MATCH($B45,$AJ$3:$AJ$51,0),1)))</f>
        <v>3</v>
      </c>
      <c r="D45" s="319">
        <v>4</v>
      </c>
      <c r="E45" s="317">
        <f t="shared" ref="E45" si="141">IF(AND(INDEX($AW$3:$AW$51,MATCH($B45,$AJ$3:$AJ$51,0),1)&lt;&gt;"Standard",State="CA"),INT(RIGHT(INDEX($AW$3:$AW$51,MATCH($B45,$AJ$3:$AJ$51,0),1),1)),INDEX($AX$3:$AX$51,MATCH($B45,$AJ$3:$AJ$51,0),1))</f>
        <v>3</v>
      </c>
      <c r="F45" s="319">
        <v>1</v>
      </c>
      <c r="G45" s="319" t="s">
        <v>73</v>
      </c>
      <c r="H45" s="319">
        <v>8</v>
      </c>
      <c r="I45" s="319">
        <v>4</v>
      </c>
      <c r="J45" s="319">
        <v>3</v>
      </c>
      <c r="K45" s="319">
        <v>5</v>
      </c>
      <c r="L45" s="317" cm="1">
        <f t="array" ref="L45">INDEX($AO$3:$AP$51,MATCH($B45,$AJ$3:$AJ$51,0),INDEX($AJ$58:$AJ$63,MATCH(LivBen,$AI$58:$AI$63,0),1))</f>
        <v>0</v>
      </c>
      <c r="M45" s="319">
        <v>0</v>
      </c>
      <c r="N45" s="319">
        <v>1</v>
      </c>
      <c r="O45" s="319">
        <v>1</v>
      </c>
      <c r="P45" s="368">
        <v>1</v>
      </c>
      <c r="Q45" s="319">
        <v>1</v>
      </c>
      <c r="R45" s="319" t="s">
        <v>223</v>
      </c>
      <c r="S45" s="318" t="s">
        <v>223</v>
      </c>
      <c r="T45" s="319">
        <v>1</v>
      </c>
      <c r="U45" s="319">
        <v>1</v>
      </c>
      <c r="Y45" s="389">
        <v>1</v>
      </c>
      <c r="Z45" s="371" t="str">
        <f>IF(MWVBasis=Y45,"Yes","No")</f>
        <v>No</v>
      </c>
      <c r="AG45" s="336" t="s">
        <v>350</v>
      </c>
      <c r="AH45" s="337" t="str">
        <f t="shared" si="117"/>
        <v>ShIS</v>
      </c>
      <c r="AI45" s="337" t="s">
        <v>351</v>
      </c>
      <c r="AJ45" s="336" t="s">
        <v>299</v>
      </c>
      <c r="AK45" s="337" t="str">
        <f t="shared" si="118"/>
        <v>None</v>
      </c>
      <c r="AL45" s="337" t="s">
        <v>73</v>
      </c>
      <c r="AM45" s="338" t="s">
        <v>79</v>
      </c>
      <c r="AN45" s="339"/>
      <c r="AO45" s="340"/>
      <c r="AP45" s="340"/>
      <c r="AQ45" s="338" t="s">
        <v>79</v>
      </c>
      <c r="AR45" s="341"/>
      <c r="AS45" s="341"/>
      <c r="AT45" s="337" t="s">
        <v>83</v>
      </c>
      <c r="AU45" s="337">
        <v>2</v>
      </c>
      <c r="AV45" s="342"/>
      <c r="AW45" s="337" t="s">
        <v>83</v>
      </c>
      <c r="AX45" s="337">
        <v>3</v>
      </c>
      <c r="AY45" s="342"/>
    </row>
    <row r="46" spans="2:85" ht="14.4" x14ac:dyDescent="0.3">
      <c r="B46" s="316" t="s">
        <v>294</v>
      </c>
      <c r="C46" s="317">
        <f t="shared" ref="C46" si="142">IF(LEFT(INDEX($AT$3:$AT$51,MATCH($B46,$AJ$3:$AJ$51,0),1),1)="C",IF(VLOOKUP(State,Compact,3,FALSE)="Y",INT(MID(INDEX($AT$3:$AT$51,MATCH($B46,$AJ$3:$AJ$51,0),1),3,1)),IF(State="CA",INT(RIGHT(INDEX($AT$3:$AT$51,MATCH($B46,$AJ$3:$AJ$51,0),1),1)),INDEX($AU$3:$AU$51,MATCH($B46,$AJ$3:$AJ$51,0),1))),IF(AND(VLOOKUP(State,Compact,2,FALSE)="Y",INDEX($AT$3:$AT$51,MATCH($B46,$AJ$3:$AJ$51,0),1)&lt;&gt;"Standard",INDEX($AT$3:$AT$51,MATCH($B46,$AJ$3:$AJ$51,0),1)&lt;&gt;"Variable"),INT(RIGHT(INDEX($AT$3:$AT$51,MATCH($B46,$AJ$3:$AJ$51,0),1),1)),INDEX($AU$3:$AU$51,MATCH($B46,$AJ$3:$AJ$51,0),1)))</f>
        <v>3</v>
      </c>
      <c r="D46" s="319">
        <v>4</v>
      </c>
      <c r="E46" s="317">
        <f t="shared" ref="E46" si="143">IF(AND(INDEX($AW$3:$AW$51,MATCH($B46,$AJ$3:$AJ$51,0),1)&lt;&gt;"Standard",State="CA"),INT(RIGHT(INDEX($AW$3:$AW$51,MATCH($B46,$AJ$3:$AJ$51,0),1),1)),INDEX($AX$3:$AX$51,MATCH($B46,$AJ$3:$AJ$51,0),1))</f>
        <v>3</v>
      </c>
      <c r="F46" s="319">
        <v>1</v>
      </c>
      <c r="G46" s="319" t="s">
        <v>241</v>
      </c>
      <c r="H46" s="319">
        <v>7</v>
      </c>
      <c r="I46" s="319">
        <v>2</v>
      </c>
      <c r="J46" s="319">
        <v>3</v>
      </c>
      <c r="K46" s="319">
        <v>5</v>
      </c>
      <c r="L46" s="317" cm="1">
        <f t="array" ref="L46">INDEX($AO$3:$AP$51,MATCH($B46,$AJ$3:$AJ$51,0),INDEX($AJ$58:$AJ$63,MATCH(LivBen,$AI$58:$AI$63,0),1))</f>
        <v>3</v>
      </c>
      <c r="M46" s="319">
        <v>0</v>
      </c>
      <c r="N46" s="319">
        <v>1</v>
      </c>
      <c r="O46" s="319">
        <v>1</v>
      </c>
      <c r="P46" s="368">
        <v>1</v>
      </c>
      <c r="Q46" s="319">
        <v>1</v>
      </c>
      <c r="R46" s="319" t="s">
        <v>223</v>
      </c>
      <c r="S46" s="318" t="s">
        <v>223</v>
      </c>
      <c r="T46" s="319">
        <v>1</v>
      </c>
      <c r="U46" s="319">
        <v>1</v>
      </c>
      <c r="Y46" s="390"/>
      <c r="Z46" s="30"/>
      <c r="AG46" s="336" t="s">
        <v>350</v>
      </c>
      <c r="AH46" s="337" t="str">
        <f t="shared" si="117"/>
        <v>ShIS</v>
      </c>
      <c r="AI46" s="337" t="s">
        <v>351</v>
      </c>
      <c r="AJ46" s="336" t="s">
        <v>303</v>
      </c>
      <c r="AK46" s="337" t="str">
        <f t="shared" si="118"/>
        <v>LIMLIPMF</v>
      </c>
      <c r="AL46" s="337" t="s">
        <v>241</v>
      </c>
      <c r="AM46" s="338" t="s">
        <v>250</v>
      </c>
      <c r="AN46" s="339" t="s">
        <v>251</v>
      </c>
      <c r="AO46" s="340">
        <v>3</v>
      </c>
      <c r="AP46" s="340">
        <v>4</v>
      </c>
      <c r="AQ46" s="338" t="s">
        <v>272</v>
      </c>
      <c r="AR46" s="341" t="s">
        <v>273</v>
      </c>
      <c r="AS46" s="341" t="s">
        <v>274</v>
      </c>
      <c r="AT46" s="337" t="s">
        <v>83</v>
      </c>
      <c r="AU46" s="337">
        <v>2</v>
      </c>
      <c r="AV46" s="342"/>
      <c r="AW46" s="337" t="s">
        <v>83</v>
      </c>
      <c r="AX46" s="337">
        <v>3</v>
      </c>
      <c r="AY46" s="342"/>
    </row>
    <row r="47" spans="2:85" x14ac:dyDescent="0.3">
      <c r="B47" s="316"/>
      <c r="C47" s="317"/>
      <c r="D47" s="319"/>
      <c r="E47" s="317"/>
      <c r="F47" s="319"/>
      <c r="G47" s="319"/>
      <c r="H47" s="319"/>
      <c r="I47" s="319"/>
      <c r="J47" s="319"/>
      <c r="K47" s="319"/>
      <c r="L47" s="317"/>
      <c r="M47" s="319"/>
      <c r="N47" s="319"/>
      <c r="O47" s="319"/>
      <c r="P47" s="368"/>
      <c r="Q47" s="319"/>
      <c r="R47" s="319"/>
      <c r="S47" s="319"/>
      <c r="T47" s="319"/>
      <c r="U47" s="319"/>
      <c r="Y47" s="369" t="s">
        <v>119</v>
      </c>
      <c r="Z47" s="30"/>
      <c r="AG47" s="325" t="s">
        <v>356</v>
      </c>
      <c r="AH47" s="326" t="str">
        <f t="shared" si="117"/>
        <v>AdICOS</v>
      </c>
      <c r="AI47" s="326" t="s">
        <v>357</v>
      </c>
      <c r="AJ47" s="325" t="s">
        <v>355</v>
      </c>
      <c r="AK47" s="326" t="str">
        <f t="shared" si="118"/>
        <v>None</v>
      </c>
      <c r="AL47" s="326" t="s">
        <v>73</v>
      </c>
      <c r="AM47" s="327" t="s">
        <v>79</v>
      </c>
      <c r="AN47" s="328"/>
      <c r="AO47" s="329"/>
      <c r="AP47" s="329"/>
      <c r="AQ47" s="327" t="s">
        <v>79</v>
      </c>
      <c r="AR47" s="330"/>
      <c r="AS47" s="330"/>
      <c r="AT47" s="326" t="s">
        <v>83</v>
      </c>
      <c r="AU47" s="326">
        <v>3</v>
      </c>
      <c r="AV47" s="331"/>
      <c r="AW47" s="326" t="s">
        <v>83</v>
      </c>
      <c r="AX47" s="326">
        <v>3</v>
      </c>
      <c r="AY47" s="331"/>
    </row>
    <row r="48" spans="2:85" ht="14.4" x14ac:dyDescent="0.3">
      <c r="B48" s="316"/>
      <c r="C48" s="317"/>
      <c r="D48" s="318"/>
      <c r="E48" s="318"/>
      <c r="F48" s="318"/>
      <c r="G48" s="318"/>
      <c r="H48" s="319"/>
      <c r="I48" s="319"/>
      <c r="J48" s="318"/>
      <c r="K48" s="318"/>
      <c r="L48" s="317"/>
      <c r="M48" s="319"/>
      <c r="N48" s="318"/>
      <c r="O48" s="318"/>
      <c r="P48" s="320"/>
      <c r="Q48" s="318"/>
      <c r="R48" s="318"/>
      <c r="S48" s="318"/>
      <c r="T48" s="318"/>
      <c r="U48" s="318"/>
      <c r="Y48" s="391">
        <v>10</v>
      </c>
      <c r="Z48" s="30"/>
      <c r="AG48" s="336"/>
      <c r="AH48" s="337"/>
      <c r="AI48" s="337"/>
      <c r="AJ48" s="336"/>
      <c r="AK48" s="337"/>
      <c r="AL48" s="337"/>
      <c r="AM48" s="338"/>
      <c r="AN48" s="339"/>
      <c r="AO48" s="340"/>
      <c r="AP48" s="340"/>
      <c r="AQ48" s="338"/>
      <c r="AR48" s="341"/>
      <c r="AS48" s="341"/>
      <c r="AT48" s="337"/>
      <c r="AU48" s="337"/>
      <c r="AV48" s="342"/>
      <c r="AW48" s="337"/>
      <c r="AX48" s="337"/>
      <c r="AY48" s="342"/>
    </row>
    <row r="49" spans="2:51" ht="14.4" x14ac:dyDescent="0.3">
      <c r="Y49" s="392">
        <v>20</v>
      </c>
      <c r="Z49" s="30"/>
      <c r="AG49" s="336"/>
      <c r="AH49" s="337"/>
      <c r="AI49" s="337"/>
      <c r="AJ49" s="336"/>
      <c r="AK49" s="337"/>
      <c r="AL49" s="337"/>
      <c r="AM49" s="338"/>
      <c r="AN49" s="339"/>
      <c r="AO49" s="340"/>
      <c r="AP49" s="340"/>
      <c r="AQ49" s="338"/>
      <c r="AR49" s="341"/>
      <c r="AS49" s="341"/>
      <c r="AT49" s="337"/>
      <c r="AU49" s="337"/>
      <c r="AV49" s="342"/>
      <c r="AW49" s="337"/>
      <c r="AX49" s="337"/>
      <c r="AY49" s="342"/>
    </row>
    <row r="50" spans="2:51" x14ac:dyDescent="0.3">
      <c r="AG50" s="336"/>
      <c r="AH50" s="337"/>
      <c r="AI50" s="337"/>
      <c r="AJ50" s="336"/>
      <c r="AK50" s="336"/>
      <c r="AL50" s="337"/>
      <c r="AM50" s="338"/>
      <c r="AN50" s="339"/>
      <c r="AO50" s="340"/>
      <c r="AP50" s="340"/>
      <c r="AQ50" s="338"/>
      <c r="AR50" s="341"/>
      <c r="AS50" s="341"/>
      <c r="AT50" s="337"/>
      <c r="AU50" s="337"/>
      <c r="AV50" s="342"/>
      <c r="AW50" s="337"/>
      <c r="AX50" s="337"/>
      <c r="AY50" s="342"/>
    </row>
    <row r="51" spans="2:51" x14ac:dyDescent="0.3">
      <c r="Y51" s="290" t="s">
        <v>358</v>
      </c>
      <c r="Z51" s="393" t="s">
        <v>173</v>
      </c>
      <c r="AA51" s="292" t="s">
        <v>174</v>
      </c>
      <c r="AG51" s="394"/>
      <c r="AH51" s="395"/>
      <c r="AI51" s="395"/>
      <c r="AJ51" s="394"/>
      <c r="AK51" s="394"/>
      <c r="AL51" s="395"/>
      <c r="AM51" s="396"/>
      <c r="AN51" s="397"/>
      <c r="AO51" s="398"/>
      <c r="AP51" s="398"/>
      <c r="AQ51" s="396"/>
      <c r="AR51" s="399"/>
      <c r="AS51" s="399"/>
      <c r="AT51" s="395"/>
      <c r="AU51" s="395"/>
      <c r="AV51" s="400"/>
      <c r="AW51" s="395"/>
      <c r="AX51" s="395"/>
      <c r="AY51" s="400"/>
    </row>
    <row r="52" spans="2:51" x14ac:dyDescent="0.3">
      <c r="B52" s="401" t="s">
        <v>359</v>
      </c>
      <c r="C52" s="402" t="s">
        <v>195</v>
      </c>
      <c r="D52" s="402" t="s">
        <v>196</v>
      </c>
      <c r="E52" s="402" t="s">
        <v>197</v>
      </c>
      <c r="F52" s="402" t="s">
        <v>198</v>
      </c>
      <c r="G52" s="402" t="s">
        <v>199</v>
      </c>
      <c r="H52" s="402" t="s">
        <v>200</v>
      </c>
      <c r="I52" s="402" t="s">
        <v>201</v>
      </c>
      <c r="J52" s="402" t="s">
        <v>202</v>
      </c>
      <c r="K52" s="402" t="s">
        <v>203</v>
      </c>
      <c r="L52" s="402" t="s">
        <v>204</v>
      </c>
      <c r="M52" s="402" t="s">
        <v>205</v>
      </c>
      <c r="N52" s="402" t="s">
        <v>206</v>
      </c>
      <c r="O52" s="402" t="s">
        <v>207</v>
      </c>
      <c r="P52" s="402" t="s">
        <v>208</v>
      </c>
      <c r="Q52" s="402" t="s">
        <v>209</v>
      </c>
      <c r="R52" s="402" t="s">
        <v>210</v>
      </c>
      <c r="S52" s="402" t="s">
        <v>211</v>
      </c>
      <c r="T52" s="402" t="s">
        <v>212</v>
      </c>
      <c r="U52" s="402" t="s">
        <v>213</v>
      </c>
      <c r="Y52" s="321" t="s">
        <v>218</v>
      </c>
      <c r="Z52" s="30" t="s">
        <v>360</v>
      </c>
      <c r="AA52" s="403" t="s">
        <v>361</v>
      </c>
    </row>
    <row r="53" spans="2:51" x14ac:dyDescent="0.3">
      <c r="B53" s="404" t="str">
        <f>Product&amp;IF(CLPrem&lt;$C$113," - Lo"," - Hi")</f>
        <v>Power Index Plus - Lo</v>
      </c>
      <c r="C53" s="405">
        <f t="shared" ref="C53:U53" si="144">INDEX($C$4:$U$48,MATCH(Product,$B$4:$B$48,0),MATCH(C$52,$C$3:$U$3,0))</f>
        <v>2</v>
      </c>
      <c r="D53" s="405">
        <f t="shared" si="144"/>
        <v>4</v>
      </c>
      <c r="E53" s="405">
        <f t="shared" si="144"/>
        <v>3</v>
      </c>
      <c r="F53" s="405">
        <f t="shared" si="144"/>
        <v>1</v>
      </c>
      <c r="G53" s="405" t="str">
        <f t="shared" si="144"/>
        <v>No</v>
      </c>
      <c r="H53" s="405">
        <f t="shared" si="144"/>
        <v>8</v>
      </c>
      <c r="I53" s="405">
        <f t="shared" si="144"/>
        <v>4</v>
      </c>
      <c r="J53" s="405">
        <f t="shared" si="144"/>
        <v>3</v>
      </c>
      <c r="K53" s="405">
        <f t="shared" si="144"/>
        <v>5</v>
      </c>
      <c r="L53" s="405">
        <f t="shared" si="144"/>
        <v>0</v>
      </c>
      <c r="M53" s="405">
        <f t="shared" si="144"/>
        <v>0</v>
      </c>
      <c r="N53" s="405">
        <f t="shared" si="144"/>
        <v>1</v>
      </c>
      <c r="O53" s="405">
        <f t="shared" si="144"/>
        <v>1</v>
      </c>
      <c r="P53" s="405">
        <f t="shared" si="144"/>
        <v>1</v>
      </c>
      <c r="Q53" s="405">
        <f t="shared" si="144"/>
        <v>1</v>
      </c>
      <c r="R53" s="405" t="str">
        <f t="shared" si="144"/>
        <v>N</v>
      </c>
      <c r="S53" s="405" t="str">
        <f t="shared" si="144"/>
        <v>Y</v>
      </c>
      <c r="T53" s="405">
        <f t="shared" si="144"/>
        <v>1</v>
      </c>
      <c r="U53" s="405">
        <f t="shared" si="144"/>
        <v>1</v>
      </c>
      <c r="Y53" s="321" t="s">
        <v>264</v>
      </c>
      <c r="Z53" s="30" t="s">
        <v>362</v>
      </c>
      <c r="AA53" s="403" t="s">
        <v>363</v>
      </c>
      <c r="AB53" s="323"/>
      <c r="AC53" s="323"/>
      <c r="AG53" s="314" t="s">
        <v>79</v>
      </c>
      <c r="AH53" s="291" t="s">
        <v>364</v>
      </c>
      <c r="AI53" s="291" t="s">
        <v>365</v>
      </c>
      <c r="AJ53" s="291" t="s">
        <v>366</v>
      </c>
      <c r="AK53" s="292" t="s">
        <v>367</v>
      </c>
    </row>
    <row r="54" spans="2:51" x14ac:dyDescent="0.3">
      <c r="Y54" s="321" t="s">
        <v>327</v>
      </c>
      <c r="Z54" s="30" t="s">
        <v>368</v>
      </c>
      <c r="AA54" s="403" t="s">
        <v>369</v>
      </c>
      <c r="AB54" s="323"/>
      <c r="AC54" s="323"/>
      <c r="AG54" s="131" t="s">
        <v>79</v>
      </c>
      <c r="AH54" s="30" t="s">
        <v>258</v>
      </c>
      <c r="AI54" s="30" t="s">
        <v>344</v>
      </c>
      <c r="AJ54" s="30" t="s">
        <v>250</v>
      </c>
      <c r="AK54" s="403" t="s">
        <v>272</v>
      </c>
    </row>
    <row r="55" spans="2:51" x14ac:dyDescent="0.3">
      <c r="B55" s="406" t="s">
        <v>370</v>
      </c>
      <c r="C55" s="407" t="s">
        <v>371</v>
      </c>
      <c r="D55" s="408">
        <v>1</v>
      </c>
      <c r="E55" s="408">
        <v>2</v>
      </c>
      <c r="F55" s="408">
        <v>3</v>
      </c>
      <c r="G55" s="408">
        <v>4</v>
      </c>
      <c r="H55" s="408">
        <v>5</v>
      </c>
      <c r="I55" s="408">
        <v>6</v>
      </c>
      <c r="J55" s="408">
        <v>7</v>
      </c>
      <c r="K55" s="408">
        <v>8</v>
      </c>
      <c r="L55" s="408">
        <v>9</v>
      </c>
      <c r="M55" s="408">
        <v>10</v>
      </c>
      <c r="N55" s="408">
        <v>11</v>
      </c>
      <c r="O55" s="408">
        <v>12</v>
      </c>
      <c r="P55" s="409" t="s">
        <v>372</v>
      </c>
      <c r="Y55" s="321" t="s">
        <v>334</v>
      </c>
      <c r="Z55" s="30" t="s">
        <v>373</v>
      </c>
      <c r="AA55" s="403" t="s">
        <v>374</v>
      </c>
      <c r="AB55" s="323"/>
      <c r="AC55" s="323"/>
      <c r="AG55" s="385"/>
      <c r="AH55" s="410"/>
      <c r="AI55" s="410"/>
      <c r="AJ55" s="410" t="s">
        <v>251</v>
      </c>
      <c r="AK55" s="411" t="s">
        <v>251</v>
      </c>
    </row>
    <row r="56" spans="2:51" ht="14.4" x14ac:dyDescent="0.3">
      <c r="B56" s="412">
        <v>1</v>
      </c>
      <c r="C56" s="413">
        <f>HLOOKUP($C$53,$D$55:$O$70,$P56,FALSE)</f>
        <v>0.08</v>
      </c>
      <c r="D56" s="414">
        <v>0.1</v>
      </c>
      <c r="E56" s="414">
        <v>0.08</v>
      </c>
      <c r="F56" s="414">
        <v>0.08</v>
      </c>
      <c r="G56" s="414">
        <v>0</v>
      </c>
      <c r="H56" s="414">
        <v>0.08</v>
      </c>
      <c r="I56" s="414">
        <v>0.09</v>
      </c>
      <c r="J56" s="414">
        <v>0.09</v>
      </c>
      <c r="K56" s="414">
        <v>0.09</v>
      </c>
      <c r="L56" s="414">
        <v>0.08</v>
      </c>
      <c r="M56" s="414">
        <v>0.08</v>
      </c>
      <c r="N56" s="414">
        <v>0.08</v>
      </c>
      <c r="O56" s="414"/>
      <c r="P56" s="415">
        <v>2</v>
      </c>
      <c r="Y56" s="321" t="s">
        <v>342</v>
      </c>
      <c r="Z56" s="30" t="s">
        <v>375</v>
      </c>
      <c r="AA56" s="403" t="s">
        <v>376</v>
      </c>
      <c r="AI56" s="30"/>
      <c r="AK56" s="30"/>
    </row>
    <row r="57" spans="2:51" ht="14.4" x14ac:dyDescent="0.3">
      <c r="B57" s="412">
        <v>2</v>
      </c>
      <c r="C57" s="413">
        <f t="shared" ref="C57:C70" si="145">HLOOKUP($C$53,$D$55:$O$70,$P57,FALSE)</f>
        <v>7.0000000000000007E-2</v>
      </c>
      <c r="D57" s="414">
        <v>0.09</v>
      </c>
      <c r="E57" s="414">
        <v>7.0000000000000007E-2</v>
      </c>
      <c r="F57" s="414">
        <v>7.0000000000000007E-2</v>
      </c>
      <c r="G57" s="414">
        <v>0</v>
      </c>
      <c r="H57" s="414">
        <v>0.08</v>
      </c>
      <c r="I57" s="414">
        <v>0.09</v>
      </c>
      <c r="J57" s="414">
        <v>0.08</v>
      </c>
      <c r="K57" s="414">
        <v>0.08</v>
      </c>
      <c r="L57" s="414">
        <v>7.0000000000000007E-2</v>
      </c>
      <c r="M57" s="414">
        <v>7.0000000000000007E-2</v>
      </c>
      <c r="N57" s="414">
        <v>7.0000000000000007E-2</v>
      </c>
      <c r="O57" s="414"/>
      <c r="P57" s="415">
        <v>3</v>
      </c>
      <c r="Y57" s="321" t="s">
        <v>351</v>
      </c>
      <c r="Z57" s="30" t="s">
        <v>377</v>
      </c>
      <c r="AA57" s="403" t="s">
        <v>378</v>
      </c>
      <c r="AG57" s="416" t="s">
        <v>176</v>
      </c>
      <c r="AI57" s="290" t="s">
        <v>379</v>
      </c>
      <c r="AJ57" s="292" t="s">
        <v>380</v>
      </c>
      <c r="AL57" s="669" t="s">
        <v>381</v>
      </c>
      <c r="AM57" s="670"/>
    </row>
    <row r="58" spans="2:51" ht="14.4" x14ac:dyDescent="0.3">
      <c r="B58" s="412">
        <v>3</v>
      </c>
      <c r="C58" s="413">
        <f t="shared" si="145"/>
        <v>0.06</v>
      </c>
      <c r="D58" s="414">
        <v>0.08</v>
      </c>
      <c r="E58" s="414">
        <v>0.06</v>
      </c>
      <c r="F58" s="414">
        <v>0.06</v>
      </c>
      <c r="G58" s="414">
        <v>0</v>
      </c>
      <c r="H58" s="414">
        <v>7.0000000000000007E-2</v>
      </c>
      <c r="I58" s="414">
        <v>0.08</v>
      </c>
      <c r="J58" s="414">
        <v>7.0000000000000007E-2</v>
      </c>
      <c r="K58" s="414">
        <v>7.0000000000000007E-2</v>
      </c>
      <c r="L58" s="414">
        <v>0.06</v>
      </c>
      <c r="M58" s="414">
        <v>0.06</v>
      </c>
      <c r="N58" s="414">
        <v>0.06</v>
      </c>
      <c r="O58" s="414"/>
      <c r="P58" s="415">
        <v>4</v>
      </c>
      <c r="Y58" s="354" t="s">
        <v>357</v>
      </c>
      <c r="Z58" s="410" t="s">
        <v>382</v>
      </c>
      <c r="AA58" s="411" t="s">
        <v>383</v>
      </c>
      <c r="AG58" s="417" t="s">
        <v>217</v>
      </c>
      <c r="AI58" s="321" t="s">
        <v>79</v>
      </c>
      <c r="AJ58" s="418">
        <v>1</v>
      </c>
      <c r="AL58" s="419">
        <v>0</v>
      </c>
      <c r="AM58" s="419" t="s">
        <v>384</v>
      </c>
    </row>
    <row r="59" spans="2:51" ht="14.4" x14ac:dyDescent="0.3">
      <c r="B59" s="412">
        <v>4</v>
      </c>
      <c r="C59" s="413">
        <f t="shared" si="145"/>
        <v>0.05</v>
      </c>
      <c r="D59" s="414">
        <v>7.0000000000000007E-2</v>
      </c>
      <c r="E59" s="414">
        <v>0.05</v>
      </c>
      <c r="F59" s="414">
        <v>0.05</v>
      </c>
      <c r="G59" s="414">
        <v>0</v>
      </c>
      <c r="H59" s="414">
        <v>0.06</v>
      </c>
      <c r="I59" s="414">
        <v>7.0000000000000007E-2</v>
      </c>
      <c r="J59" s="414">
        <v>0.06</v>
      </c>
      <c r="K59" s="414">
        <v>0.06</v>
      </c>
      <c r="L59" s="414">
        <v>0</v>
      </c>
      <c r="M59" s="414">
        <v>0.05</v>
      </c>
      <c r="N59" s="414">
        <v>0.05</v>
      </c>
      <c r="O59" s="414"/>
      <c r="P59" s="415">
        <v>5</v>
      </c>
      <c r="AG59" s="417" t="s">
        <v>75</v>
      </c>
      <c r="AI59" s="321" t="s">
        <v>344</v>
      </c>
      <c r="AJ59" s="418">
        <v>1</v>
      </c>
      <c r="AL59" s="370">
        <v>1</v>
      </c>
      <c r="AM59" s="370" t="s">
        <v>385</v>
      </c>
    </row>
    <row r="60" spans="2:51" ht="14.4" x14ac:dyDescent="0.3">
      <c r="B60" s="412">
        <v>5</v>
      </c>
      <c r="C60" s="413">
        <f t="shared" si="145"/>
        <v>0.04</v>
      </c>
      <c r="D60" s="414">
        <v>0.06</v>
      </c>
      <c r="E60" s="414">
        <v>0.04</v>
      </c>
      <c r="F60" s="414">
        <v>0.04</v>
      </c>
      <c r="G60" s="414">
        <v>0</v>
      </c>
      <c r="H60" s="414">
        <v>0.05</v>
      </c>
      <c r="I60" s="414">
        <v>0.06</v>
      </c>
      <c r="J60" s="414">
        <v>0.05</v>
      </c>
      <c r="K60" s="414">
        <v>0.05</v>
      </c>
      <c r="L60" s="414">
        <v>0</v>
      </c>
      <c r="M60" s="414">
        <v>0</v>
      </c>
      <c r="N60" s="414">
        <v>0.04</v>
      </c>
      <c r="O60" s="414"/>
      <c r="P60" s="415">
        <v>6</v>
      </c>
      <c r="Y60" s="669" t="s">
        <v>386</v>
      </c>
      <c r="Z60" s="671"/>
      <c r="AA60" s="670"/>
      <c r="AG60" s="417" t="s">
        <v>307</v>
      </c>
      <c r="AI60" s="321" t="s">
        <v>250</v>
      </c>
      <c r="AJ60" s="418">
        <v>1</v>
      </c>
      <c r="AL60" s="370">
        <v>2</v>
      </c>
      <c r="AM60" s="370" t="s">
        <v>387</v>
      </c>
    </row>
    <row r="61" spans="2:51" ht="14.4" x14ac:dyDescent="0.3">
      <c r="B61" s="412">
        <v>6</v>
      </c>
      <c r="C61" s="413">
        <f t="shared" si="145"/>
        <v>0.03</v>
      </c>
      <c r="D61" s="414">
        <v>0.05</v>
      </c>
      <c r="E61" s="414">
        <v>0.03</v>
      </c>
      <c r="F61" s="414">
        <v>0</v>
      </c>
      <c r="G61" s="414">
        <v>0</v>
      </c>
      <c r="H61" s="414">
        <v>0.04</v>
      </c>
      <c r="I61" s="414">
        <v>0.05</v>
      </c>
      <c r="J61" s="414">
        <v>0.04</v>
      </c>
      <c r="K61" s="414">
        <v>0.04</v>
      </c>
      <c r="L61" s="414">
        <v>0</v>
      </c>
      <c r="M61" s="414">
        <v>0</v>
      </c>
      <c r="N61" s="414">
        <v>0.03</v>
      </c>
      <c r="O61" s="414"/>
      <c r="P61" s="415">
        <v>7</v>
      </c>
      <c r="Y61" s="321" t="s">
        <v>388</v>
      </c>
      <c r="Z61" s="1">
        <v>1</v>
      </c>
      <c r="AA61" s="9" t="s">
        <v>389</v>
      </c>
      <c r="AG61" s="417" t="s">
        <v>330</v>
      </c>
      <c r="AI61" s="321" t="s">
        <v>272</v>
      </c>
      <c r="AJ61" s="418">
        <v>1</v>
      </c>
      <c r="AL61" s="370">
        <v>3</v>
      </c>
      <c r="AM61" s="370" t="s">
        <v>390</v>
      </c>
    </row>
    <row r="62" spans="2:51" ht="14.4" x14ac:dyDescent="0.3">
      <c r="B62" s="412">
        <v>7</v>
      </c>
      <c r="C62" s="413">
        <f t="shared" si="145"/>
        <v>0.02</v>
      </c>
      <c r="D62" s="414">
        <v>0.04</v>
      </c>
      <c r="E62" s="414">
        <v>0.02</v>
      </c>
      <c r="F62" s="414">
        <v>0</v>
      </c>
      <c r="G62" s="414">
        <v>0</v>
      </c>
      <c r="H62" s="414">
        <v>0.03</v>
      </c>
      <c r="I62" s="414">
        <v>0.04</v>
      </c>
      <c r="J62" s="414">
        <v>0.03</v>
      </c>
      <c r="K62" s="414">
        <v>0.03</v>
      </c>
      <c r="L62" s="414">
        <v>0</v>
      </c>
      <c r="M62" s="414">
        <v>0</v>
      </c>
      <c r="N62" s="414">
        <v>0</v>
      </c>
      <c r="O62" s="414"/>
      <c r="P62" s="415">
        <v>8</v>
      </c>
      <c r="Y62" s="321" t="s">
        <v>391</v>
      </c>
      <c r="Z62" s="1">
        <v>2</v>
      </c>
      <c r="AA62" s="9" t="s">
        <v>392</v>
      </c>
      <c r="AG62" s="417" t="s">
        <v>333</v>
      </c>
      <c r="AI62" s="321" t="s">
        <v>251</v>
      </c>
      <c r="AJ62" s="418">
        <v>2</v>
      </c>
      <c r="AL62" s="370">
        <v>4</v>
      </c>
      <c r="AM62" s="370" t="s">
        <v>393</v>
      </c>
    </row>
    <row r="63" spans="2:51" ht="14.4" x14ac:dyDescent="0.3">
      <c r="B63" s="412">
        <v>8</v>
      </c>
      <c r="C63" s="413">
        <f t="shared" si="145"/>
        <v>0</v>
      </c>
      <c r="D63" s="414">
        <v>0.03</v>
      </c>
      <c r="E63" s="414">
        <v>0</v>
      </c>
      <c r="F63" s="414">
        <v>0</v>
      </c>
      <c r="G63" s="414">
        <v>0</v>
      </c>
      <c r="H63" s="414">
        <v>0.02</v>
      </c>
      <c r="I63" s="414">
        <v>0.03</v>
      </c>
      <c r="J63" s="414">
        <v>0</v>
      </c>
      <c r="K63" s="414">
        <v>0.02</v>
      </c>
      <c r="L63" s="414">
        <v>0</v>
      </c>
      <c r="M63" s="414">
        <v>0</v>
      </c>
      <c r="N63" s="414">
        <v>0</v>
      </c>
      <c r="O63" s="414"/>
      <c r="P63" s="415">
        <v>9</v>
      </c>
      <c r="Y63" s="354" t="s">
        <v>394</v>
      </c>
      <c r="Z63" s="420">
        <v>3</v>
      </c>
      <c r="AA63" s="421" t="s">
        <v>395</v>
      </c>
      <c r="AG63" s="417" t="s">
        <v>350</v>
      </c>
      <c r="AI63" s="422" t="s">
        <v>258</v>
      </c>
      <c r="AJ63" s="423">
        <v>1</v>
      </c>
      <c r="AL63" s="371">
        <v>5</v>
      </c>
      <c r="AM63" s="371" t="s">
        <v>396</v>
      </c>
    </row>
    <row r="64" spans="2:51" ht="14.4" x14ac:dyDescent="0.3">
      <c r="B64" s="412">
        <v>9</v>
      </c>
      <c r="C64" s="413">
        <f t="shared" si="145"/>
        <v>0</v>
      </c>
      <c r="D64" s="414">
        <v>0.02</v>
      </c>
      <c r="E64" s="414">
        <v>0</v>
      </c>
      <c r="F64" s="414">
        <v>0</v>
      </c>
      <c r="G64" s="414">
        <v>0</v>
      </c>
      <c r="H64" s="414">
        <v>0</v>
      </c>
      <c r="I64" s="414">
        <v>0.02</v>
      </c>
      <c r="J64" s="414">
        <v>0</v>
      </c>
      <c r="K64" s="414">
        <v>0.01</v>
      </c>
      <c r="L64" s="414">
        <v>0</v>
      </c>
      <c r="M64" s="414">
        <v>0</v>
      </c>
      <c r="N64" s="414">
        <v>0</v>
      </c>
      <c r="O64" s="414"/>
      <c r="P64" s="415">
        <v>10</v>
      </c>
      <c r="AG64" s="417" t="s">
        <v>341</v>
      </c>
    </row>
    <row r="65" spans="2:85" ht="14.4" x14ac:dyDescent="0.3">
      <c r="B65" s="412">
        <v>10</v>
      </c>
      <c r="C65" s="413">
        <f t="shared" si="145"/>
        <v>0</v>
      </c>
      <c r="D65" s="414">
        <v>0.01</v>
      </c>
      <c r="E65" s="414">
        <v>0</v>
      </c>
      <c r="F65" s="414">
        <v>0</v>
      </c>
      <c r="G65" s="414">
        <v>0</v>
      </c>
      <c r="H65" s="414">
        <v>0</v>
      </c>
      <c r="I65" s="414">
        <v>0.01</v>
      </c>
      <c r="J65" s="414">
        <v>0</v>
      </c>
      <c r="K65" s="414">
        <v>0</v>
      </c>
      <c r="L65" s="414">
        <v>0</v>
      </c>
      <c r="M65" s="414">
        <v>0</v>
      </c>
      <c r="N65" s="414">
        <v>0</v>
      </c>
      <c r="O65" s="414"/>
      <c r="P65" s="415">
        <v>11</v>
      </c>
      <c r="AG65" s="424" t="s">
        <v>356</v>
      </c>
      <c r="AL65" s="669" t="s">
        <v>397</v>
      </c>
      <c r="AM65" s="670"/>
      <c r="AN65" s="672" t="s">
        <v>398</v>
      </c>
      <c r="AO65" s="672"/>
    </row>
    <row r="66" spans="2:85" ht="14.4" x14ac:dyDescent="0.3">
      <c r="B66" s="412">
        <v>11</v>
      </c>
      <c r="C66" s="413">
        <f t="shared" si="145"/>
        <v>0</v>
      </c>
      <c r="D66" s="414">
        <v>0</v>
      </c>
      <c r="E66" s="414">
        <v>0</v>
      </c>
      <c r="F66" s="414">
        <v>0</v>
      </c>
      <c r="G66" s="414">
        <v>0</v>
      </c>
      <c r="H66" s="414">
        <v>0</v>
      </c>
      <c r="I66" s="414">
        <v>0</v>
      </c>
      <c r="J66" s="414">
        <v>0</v>
      </c>
      <c r="K66" s="414">
        <v>0</v>
      </c>
      <c r="L66" s="414">
        <v>0</v>
      </c>
      <c r="M66" s="414">
        <v>0</v>
      </c>
      <c r="N66" s="414">
        <v>0</v>
      </c>
      <c r="O66" s="414"/>
      <c r="P66" s="415">
        <v>12</v>
      </c>
      <c r="AL66" s="369" t="s">
        <v>32</v>
      </c>
      <c r="AM66" s="369" t="s">
        <v>35</v>
      </c>
      <c r="AN66" s="369" t="s">
        <v>99</v>
      </c>
      <c r="AO66" s="369" t="s">
        <v>324</v>
      </c>
      <c r="AP66" s="30"/>
    </row>
    <row r="67" spans="2:85" ht="14.4" x14ac:dyDescent="0.3">
      <c r="B67" s="412">
        <v>12</v>
      </c>
      <c r="C67" s="413">
        <f t="shared" si="145"/>
        <v>0</v>
      </c>
      <c r="D67" s="414">
        <v>0</v>
      </c>
      <c r="E67" s="414">
        <v>0</v>
      </c>
      <c r="F67" s="414">
        <v>0</v>
      </c>
      <c r="G67" s="414">
        <v>0</v>
      </c>
      <c r="H67" s="414">
        <v>0</v>
      </c>
      <c r="I67" s="414">
        <v>0</v>
      </c>
      <c r="J67" s="414">
        <v>0</v>
      </c>
      <c r="K67" s="414">
        <v>0</v>
      </c>
      <c r="L67" s="414">
        <v>0</v>
      </c>
      <c r="M67" s="414">
        <v>0</v>
      </c>
      <c r="N67" s="414">
        <v>0</v>
      </c>
      <c r="O67" s="414"/>
      <c r="P67" s="415">
        <v>13</v>
      </c>
      <c r="Y67" s="416" t="s">
        <v>171</v>
      </c>
      <c r="AG67" s="314" t="s">
        <v>399</v>
      </c>
      <c r="AH67" s="291" t="s">
        <v>400</v>
      </c>
      <c r="AI67" s="291" t="s">
        <v>401</v>
      </c>
      <c r="AJ67" s="292" t="s">
        <v>402</v>
      </c>
      <c r="AL67" s="303" t="s">
        <v>338</v>
      </c>
      <c r="AM67" s="425" t="s">
        <v>272</v>
      </c>
      <c r="AN67" s="426">
        <v>2</v>
      </c>
      <c r="AO67" s="427">
        <v>2</v>
      </c>
      <c r="AP67" s="30"/>
    </row>
    <row r="68" spans="2:85" ht="14.4" x14ac:dyDescent="0.3">
      <c r="B68" s="412">
        <v>13</v>
      </c>
      <c r="C68" s="413">
        <f t="shared" si="145"/>
        <v>0</v>
      </c>
      <c r="D68" s="414">
        <v>0</v>
      </c>
      <c r="E68" s="414">
        <v>0</v>
      </c>
      <c r="F68" s="414">
        <v>0</v>
      </c>
      <c r="G68" s="414">
        <v>0</v>
      </c>
      <c r="H68" s="414">
        <v>0</v>
      </c>
      <c r="I68" s="414">
        <v>0</v>
      </c>
      <c r="J68" s="414">
        <v>0</v>
      </c>
      <c r="K68" s="414">
        <v>0</v>
      </c>
      <c r="L68" s="414">
        <v>0</v>
      </c>
      <c r="M68" s="414">
        <v>0</v>
      </c>
      <c r="N68" s="414">
        <v>0</v>
      </c>
      <c r="O68" s="414"/>
      <c r="P68" s="415">
        <v>14</v>
      </c>
      <c r="Y68" s="425" t="s">
        <v>81</v>
      </c>
      <c r="AG68" s="428" t="s">
        <v>403</v>
      </c>
      <c r="AH68" s="30" t="s">
        <v>223</v>
      </c>
      <c r="AI68" s="30" t="s">
        <v>282</v>
      </c>
      <c r="AJ68" s="403" t="s">
        <v>223</v>
      </c>
      <c r="AL68" s="321" t="s">
        <v>338</v>
      </c>
      <c r="AM68" s="417" t="s">
        <v>404</v>
      </c>
      <c r="AN68" s="429">
        <v>2</v>
      </c>
      <c r="AO68" s="430">
        <v>2</v>
      </c>
      <c r="AP68" s="30"/>
    </row>
    <row r="69" spans="2:85" ht="14.4" x14ac:dyDescent="0.3">
      <c r="B69" s="412">
        <v>14</v>
      </c>
      <c r="C69" s="413">
        <f t="shared" si="145"/>
        <v>0</v>
      </c>
      <c r="D69" s="414">
        <v>0</v>
      </c>
      <c r="E69" s="414">
        <v>0</v>
      </c>
      <c r="F69" s="414">
        <v>0</v>
      </c>
      <c r="G69" s="414">
        <v>0</v>
      </c>
      <c r="H69" s="414">
        <v>0</v>
      </c>
      <c r="I69" s="414">
        <v>0</v>
      </c>
      <c r="J69" s="414">
        <v>0</v>
      </c>
      <c r="K69" s="414">
        <v>0</v>
      </c>
      <c r="L69" s="414">
        <v>0</v>
      </c>
      <c r="M69" s="414">
        <v>0</v>
      </c>
      <c r="N69" s="414">
        <v>0</v>
      </c>
      <c r="O69" s="414"/>
      <c r="P69" s="415">
        <v>15</v>
      </c>
      <c r="Y69" s="417" t="s">
        <v>224</v>
      </c>
      <c r="AG69" s="428" t="s">
        <v>405</v>
      </c>
      <c r="AH69" s="30" t="s">
        <v>282</v>
      </c>
      <c r="AI69" s="30" t="s">
        <v>282</v>
      </c>
      <c r="AJ69" s="403" t="s">
        <v>282</v>
      </c>
      <c r="AL69" s="321" t="s">
        <v>289</v>
      </c>
      <c r="AM69" s="417" t="s">
        <v>344</v>
      </c>
      <c r="AN69" s="429">
        <v>2</v>
      </c>
      <c r="AO69" s="430">
        <v>1.5</v>
      </c>
      <c r="AP69" s="30"/>
    </row>
    <row r="70" spans="2:85" ht="14.4" x14ac:dyDescent="0.3">
      <c r="B70" s="431">
        <v>100</v>
      </c>
      <c r="C70" s="432">
        <f t="shared" si="145"/>
        <v>0</v>
      </c>
      <c r="D70" s="433">
        <v>0</v>
      </c>
      <c r="E70" s="433">
        <v>0</v>
      </c>
      <c r="F70" s="433">
        <v>0</v>
      </c>
      <c r="G70" s="433">
        <v>0</v>
      </c>
      <c r="H70" s="433">
        <v>0</v>
      </c>
      <c r="I70" s="433">
        <v>0</v>
      </c>
      <c r="J70" s="433">
        <v>0</v>
      </c>
      <c r="K70" s="433">
        <v>0</v>
      </c>
      <c r="L70" s="433">
        <v>0</v>
      </c>
      <c r="M70" s="433">
        <v>0</v>
      </c>
      <c r="N70" s="433">
        <v>0</v>
      </c>
      <c r="O70" s="433"/>
      <c r="P70" s="434">
        <v>16</v>
      </c>
      <c r="Y70" s="417" t="s">
        <v>242</v>
      </c>
      <c r="AG70" s="428" t="s">
        <v>406</v>
      </c>
      <c r="AH70" s="30" t="s">
        <v>282</v>
      </c>
      <c r="AI70" s="30" t="s">
        <v>282</v>
      </c>
      <c r="AJ70" s="403" t="s">
        <v>223</v>
      </c>
      <c r="AL70" s="321" t="s">
        <v>287</v>
      </c>
      <c r="AM70" s="417" t="s">
        <v>344</v>
      </c>
      <c r="AN70" s="429">
        <v>2</v>
      </c>
      <c r="AO70" s="430">
        <v>1.5</v>
      </c>
      <c r="AP70" s="30"/>
    </row>
    <row r="71" spans="2:85" x14ac:dyDescent="0.3">
      <c r="Y71" s="417" t="s">
        <v>260</v>
      </c>
      <c r="AG71" s="428" t="s">
        <v>407</v>
      </c>
      <c r="AH71" s="30" t="s">
        <v>282</v>
      </c>
      <c r="AI71" s="30" t="s">
        <v>282</v>
      </c>
      <c r="AJ71" s="403" t="s">
        <v>282</v>
      </c>
      <c r="AL71" s="321" t="s">
        <v>267</v>
      </c>
      <c r="AM71" s="417" t="s">
        <v>344</v>
      </c>
      <c r="AN71" s="429">
        <v>2</v>
      </c>
      <c r="AO71" s="430">
        <v>1.5</v>
      </c>
      <c r="AP71" s="30"/>
      <c r="AQ71" s="30"/>
    </row>
    <row r="72" spans="2:85" ht="26.4" x14ac:dyDescent="0.3">
      <c r="B72" s="406" t="s">
        <v>408</v>
      </c>
      <c r="C72" s="407" t="s">
        <v>409</v>
      </c>
      <c r="D72" s="408">
        <v>1</v>
      </c>
      <c r="E72" s="408">
        <v>2</v>
      </c>
      <c r="F72" s="408">
        <v>3</v>
      </c>
      <c r="G72" s="408">
        <v>4</v>
      </c>
      <c r="H72" s="408">
        <v>5</v>
      </c>
      <c r="I72" s="408">
        <v>6</v>
      </c>
      <c r="J72" s="408">
        <v>7</v>
      </c>
      <c r="K72" s="409" t="s">
        <v>372</v>
      </c>
      <c r="Y72" s="417" t="s">
        <v>268</v>
      </c>
      <c r="AG72" s="428" t="s">
        <v>410</v>
      </c>
      <c r="AH72" s="30" t="s">
        <v>223</v>
      </c>
      <c r="AI72" s="30" t="s">
        <v>223</v>
      </c>
      <c r="AJ72" s="403" t="s">
        <v>223</v>
      </c>
      <c r="AL72" s="321" t="s">
        <v>275</v>
      </c>
      <c r="AM72" s="417" t="s">
        <v>344</v>
      </c>
      <c r="AN72" s="429">
        <v>2</v>
      </c>
      <c r="AO72" s="430">
        <v>1.5</v>
      </c>
      <c r="AP72" s="30"/>
    </row>
    <row r="73" spans="2:85" ht="14.4" x14ac:dyDescent="0.3">
      <c r="B73" s="435">
        <v>0</v>
      </c>
      <c r="C73" s="413">
        <f>HLOOKUP($D$53,$D$72:$J$74,$K73,FALSE)</f>
        <v>0</v>
      </c>
      <c r="D73" s="414">
        <v>0.02</v>
      </c>
      <c r="E73" s="414">
        <v>0.04</v>
      </c>
      <c r="F73" s="414">
        <v>0.03</v>
      </c>
      <c r="G73" s="414">
        <v>0</v>
      </c>
      <c r="H73" s="436">
        <v>0.1</v>
      </c>
      <c r="I73" s="414">
        <v>0.06</v>
      </c>
      <c r="J73" s="414">
        <v>0.08</v>
      </c>
      <c r="K73" s="415">
        <v>2</v>
      </c>
      <c r="Y73" s="424" t="s">
        <v>276</v>
      </c>
      <c r="AG73" s="428" t="s">
        <v>411</v>
      </c>
      <c r="AH73" s="30" t="s">
        <v>282</v>
      </c>
      <c r="AI73" s="30" t="s">
        <v>282</v>
      </c>
      <c r="AJ73" s="403" t="s">
        <v>282</v>
      </c>
      <c r="AL73" s="321" t="s">
        <v>340</v>
      </c>
      <c r="AM73" s="417" t="s">
        <v>272</v>
      </c>
      <c r="AN73" s="429">
        <v>2</v>
      </c>
      <c r="AO73" s="430">
        <v>1.5</v>
      </c>
      <c r="AP73" s="30"/>
    </row>
    <row r="74" spans="2:85" ht="14.4" x14ac:dyDescent="0.3">
      <c r="B74" s="437">
        <v>100000</v>
      </c>
      <c r="C74" s="432">
        <f>HLOOKUP($D$53,$D$72:$J$74,$K74,FALSE)</f>
        <v>0</v>
      </c>
      <c r="D74" s="433">
        <v>0.02</v>
      </c>
      <c r="E74" s="433">
        <v>0</v>
      </c>
      <c r="F74" s="433">
        <v>0.03</v>
      </c>
      <c r="G74" s="433">
        <v>0</v>
      </c>
      <c r="H74" s="438">
        <v>0.1</v>
      </c>
      <c r="I74" s="433">
        <v>0.06</v>
      </c>
      <c r="J74" s="433">
        <v>0.08</v>
      </c>
      <c r="K74" s="434">
        <f>K73+1</f>
        <v>3</v>
      </c>
      <c r="AG74" s="428" t="s">
        <v>412</v>
      </c>
      <c r="AH74" s="30" t="s">
        <v>223</v>
      </c>
      <c r="AI74" s="30" t="s">
        <v>282</v>
      </c>
      <c r="AJ74" s="403" t="s">
        <v>223</v>
      </c>
      <c r="AL74" s="321" t="s">
        <v>340</v>
      </c>
      <c r="AM74" s="417" t="s">
        <v>251</v>
      </c>
      <c r="AN74" s="429">
        <v>2</v>
      </c>
      <c r="AO74" s="430">
        <v>1.5</v>
      </c>
      <c r="AP74" s="30"/>
    </row>
    <row r="75" spans="2:85" x14ac:dyDescent="0.3">
      <c r="AG75" s="428" t="s">
        <v>413</v>
      </c>
      <c r="AH75" s="30" t="s">
        <v>282</v>
      </c>
      <c r="AI75" s="30" t="s">
        <v>282</v>
      </c>
      <c r="AJ75" s="403" t="s">
        <v>223</v>
      </c>
      <c r="AL75" s="321" t="s">
        <v>240</v>
      </c>
      <c r="AM75" s="417" t="s">
        <v>250</v>
      </c>
      <c r="AN75" s="429">
        <v>2</v>
      </c>
      <c r="AO75" s="430">
        <v>1.5</v>
      </c>
      <c r="AP75" s="30"/>
    </row>
    <row r="76" spans="2:85" ht="26.4" x14ac:dyDescent="0.3">
      <c r="B76" s="406" t="s">
        <v>370</v>
      </c>
      <c r="C76" s="407" t="s">
        <v>414</v>
      </c>
      <c r="D76" s="408">
        <v>1</v>
      </c>
      <c r="E76" s="408">
        <v>2</v>
      </c>
      <c r="F76" s="408">
        <v>3</v>
      </c>
      <c r="G76" s="408">
        <v>4</v>
      </c>
      <c r="H76" s="408">
        <v>5</v>
      </c>
      <c r="I76" s="408">
        <v>6</v>
      </c>
      <c r="J76" s="408">
        <v>7</v>
      </c>
      <c r="K76" s="409" t="s">
        <v>372</v>
      </c>
      <c r="Y76" s="416" t="s">
        <v>415</v>
      </c>
      <c r="AA76" s="369" t="s">
        <v>119</v>
      </c>
      <c r="AG76" s="428" t="s">
        <v>416</v>
      </c>
      <c r="AH76" s="30" t="s">
        <v>223</v>
      </c>
      <c r="AI76" s="30" t="s">
        <v>282</v>
      </c>
      <c r="AJ76" s="403" t="s">
        <v>223</v>
      </c>
      <c r="AL76" s="321" t="s">
        <v>240</v>
      </c>
      <c r="AM76" s="417" t="s">
        <v>251</v>
      </c>
      <c r="AN76" s="429">
        <v>2</v>
      </c>
      <c r="AO76" s="430">
        <v>1.5</v>
      </c>
      <c r="AP76" s="30"/>
    </row>
    <row r="77" spans="2:85" ht="14.4" x14ac:dyDescent="0.3">
      <c r="B77" s="412">
        <v>1</v>
      </c>
      <c r="C77" s="413">
        <f>HLOOKUP($E$53,$D$76:$J$91,$K77,FALSE)</f>
        <v>0</v>
      </c>
      <c r="D77" s="414">
        <v>1</v>
      </c>
      <c r="E77" s="414">
        <v>1</v>
      </c>
      <c r="F77" s="414">
        <v>0</v>
      </c>
      <c r="G77" s="414">
        <v>0.8</v>
      </c>
      <c r="H77" s="414">
        <v>0.8</v>
      </c>
      <c r="I77" s="414">
        <v>0.8</v>
      </c>
      <c r="J77" s="414"/>
      <c r="K77" s="439">
        <v>2</v>
      </c>
      <c r="Y77" s="425" t="s">
        <v>417</v>
      </c>
      <c r="AA77" s="391">
        <v>10</v>
      </c>
      <c r="AG77" s="428" t="s">
        <v>418</v>
      </c>
      <c r="AH77" s="30" t="s">
        <v>223</v>
      </c>
      <c r="AI77" s="30" t="s">
        <v>282</v>
      </c>
      <c r="AJ77" s="403" t="s">
        <v>223</v>
      </c>
      <c r="AL77" s="321" t="s">
        <v>303</v>
      </c>
      <c r="AM77" s="417" t="s">
        <v>250</v>
      </c>
      <c r="AN77" s="429">
        <v>2</v>
      </c>
      <c r="AO77" s="430">
        <v>1.5</v>
      </c>
      <c r="AP77" s="30"/>
    </row>
    <row r="78" spans="2:85" ht="14.4" x14ac:dyDescent="0.3">
      <c r="B78" s="412">
        <v>2</v>
      </c>
      <c r="C78" s="413">
        <f t="shared" ref="C78:C91" si="146">HLOOKUP($E$53,$D$76:$J$91,$K78,FALSE)</f>
        <v>0</v>
      </c>
      <c r="D78" s="414">
        <v>0.9</v>
      </c>
      <c r="E78" s="414">
        <v>1</v>
      </c>
      <c r="F78" s="414">
        <v>0</v>
      </c>
      <c r="G78" s="414">
        <v>0.7</v>
      </c>
      <c r="H78" s="414">
        <v>0.8</v>
      </c>
      <c r="I78" s="414">
        <v>0.7</v>
      </c>
      <c r="J78" s="414"/>
      <c r="K78" s="415">
        <v>3</v>
      </c>
      <c r="Y78" s="417" t="s">
        <v>419</v>
      </c>
      <c r="AA78" s="392">
        <v>20</v>
      </c>
      <c r="AG78" s="428" t="s">
        <v>420</v>
      </c>
      <c r="AH78" s="30" t="s">
        <v>282</v>
      </c>
      <c r="AI78" s="30" t="s">
        <v>282</v>
      </c>
      <c r="AJ78" s="403" t="s">
        <v>223</v>
      </c>
      <c r="AL78" s="321" t="s">
        <v>303</v>
      </c>
      <c r="AM78" s="417" t="s">
        <v>251</v>
      </c>
      <c r="AN78" s="429">
        <v>2</v>
      </c>
      <c r="AO78" s="430">
        <v>1.5</v>
      </c>
      <c r="AP78" s="30"/>
    </row>
    <row r="79" spans="2:85" ht="14.4" x14ac:dyDescent="0.3">
      <c r="B79" s="412">
        <v>3</v>
      </c>
      <c r="C79" s="413">
        <f t="shared" si="146"/>
        <v>0</v>
      </c>
      <c r="D79" s="414">
        <v>0.8</v>
      </c>
      <c r="E79" s="414">
        <v>1</v>
      </c>
      <c r="F79" s="414">
        <v>0</v>
      </c>
      <c r="G79" s="414">
        <v>0.6</v>
      </c>
      <c r="H79" s="414">
        <v>0.7</v>
      </c>
      <c r="I79" s="414">
        <v>0.65</v>
      </c>
      <c r="J79" s="414"/>
      <c r="K79" s="415">
        <v>4</v>
      </c>
      <c r="Y79" s="417" t="s">
        <v>421</v>
      </c>
      <c r="AG79" s="428" t="s">
        <v>422</v>
      </c>
      <c r="AH79" s="30" t="s">
        <v>282</v>
      </c>
      <c r="AI79" s="30" t="s">
        <v>282</v>
      </c>
      <c r="AJ79" s="403" t="s">
        <v>223</v>
      </c>
      <c r="AL79" s="321" t="s">
        <v>295</v>
      </c>
      <c r="AM79" s="417" t="s">
        <v>250</v>
      </c>
      <c r="AN79" s="429">
        <v>2</v>
      </c>
      <c r="AO79" s="430">
        <v>1.5</v>
      </c>
      <c r="AP79" s="30"/>
      <c r="BG79" s="440"/>
      <c r="BH79" s="440"/>
      <c r="BI79" s="440"/>
      <c r="BJ79" s="440"/>
      <c r="BK79" s="440"/>
      <c r="BL79" s="440"/>
      <c r="BM79" s="440"/>
      <c r="BN79" s="440"/>
      <c r="BO79" s="440"/>
      <c r="BP79" s="440"/>
      <c r="BQ79" s="440"/>
      <c r="BR79" s="440"/>
      <c r="BS79" s="440"/>
      <c r="BT79" s="440"/>
      <c r="BU79" s="440"/>
      <c r="BV79" s="440"/>
      <c r="BW79" s="440"/>
      <c r="CF79" s="440"/>
      <c r="CG79" s="440"/>
    </row>
    <row r="80" spans="2:85" ht="14.4" x14ac:dyDescent="0.3">
      <c r="B80" s="412">
        <v>4</v>
      </c>
      <c r="C80" s="413">
        <f t="shared" si="146"/>
        <v>0</v>
      </c>
      <c r="D80" s="414">
        <v>0.7</v>
      </c>
      <c r="E80" s="414">
        <v>1</v>
      </c>
      <c r="F80" s="414">
        <v>0</v>
      </c>
      <c r="G80" s="414">
        <v>0.5</v>
      </c>
      <c r="H80" s="414">
        <v>0.65</v>
      </c>
      <c r="I80" s="414">
        <v>0.55000000000000004</v>
      </c>
      <c r="J80" s="414"/>
      <c r="K80" s="415">
        <v>5</v>
      </c>
      <c r="Y80" s="417" t="s">
        <v>423</v>
      </c>
      <c r="AG80" s="428" t="s">
        <v>424</v>
      </c>
      <c r="AH80" s="30" t="s">
        <v>282</v>
      </c>
      <c r="AI80" s="30" t="s">
        <v>282</v>
      </c>
      <c r="AJ80" s="403" t="s">
        <v>282</v>
      </c>
      <c r="AL80" s="321" t="s">
        <v>295</v>
      </c>
      <c r="AM80" s="417" t="s">
        <v>251</v>
      </c>
      <c r="AN80" s="429">
        <v>2</v>
      </c>
      <c r="AO80" s="430">
        <v>1.5</v>
      </c>
      <c r="AP80" s="30"/>
      <c r="BG80" s="440"/>
      <c r="BH80" s="440"/>
      <c r="BI80" s="440"/>
      <c r="BJ80" s="440"/>
      <c r="BK80" s="440"/>
      <c r="BL80" s="440"/>
      <c r="BM80" s="440"/>
      <c r="BN80" s="440"/>
      <c r="BO80" s="440"/>
      <c r="BP80" s="440"/>
      <c r="BQ80" s="440"/>
      <c r="BR80" s="440"/>
      <c r="BS80" s="440"/>
      <c r="BT80" s="440"/>
      <c r="BU80" s="440"/>
      <c r="BV80" s="440"/>
      <c r="BW80" s="440"/>
      <c r="CF80" s="440"/>
      <c r="CG80" s="440"/>
    </row>
    <row r="81" spans="2:85" ht="14.4" x14ac:dyDescent="0.3">
      <c r="B81" s="412">
        <v>5</v>
      </c>
      <c r="C81" s="413">
        <f t="shared" si="146"/>
        <v>0</v>
      </c>
      <c r="D81" s="414">
        <v>0.6</v>
      </c>
      <c r="E81" s="414">
        <v>1</v>
      </c>
      <c r="F81" s="414">
        <v>0</v>
      </c>
      <c r="G81" s="414">
        <v>0.4</v>
      </c>
      <c r="H81" s="414">
        <v>0.55000000000000004</v>
      </c>
      <c r="I81" s="414">
        <v>0.5</v>
      </c>
      <c r="J81" s="414"/>
      <c r="K81" s="415">
        <v>6</v>
      </c>
      <c r="Y81" s="417" t="s">
        <v>425</v>
      </c>
      <c r="AG81" s="428" t="s">
        <v>426</v>
      </c>
      <c r="AH81" s="30" t="s">
        <v>282</v>
      </c>
      <c r="AI81" s="30" t="s">
        <v>282</v>
      </c>
      <c r="AJ81" s="403" t="s">
        <v>223</v>
      </c>
      <c r="AL81" s="321" t="s">
        <v>288</v>
      </c>
      <c r="AM81" s="417" t="s">
        <v>250</v>
      </c>
      <c r="AN81" s="429">
        <v>2</v>
      </c>
      <c r="AO81" s="430">
        <v>1.5</v>
      </c>
      <c r="AP81" s="30"/>
      <c r="BG81" s="440"/>
      <c r="BH81" s="440"/>
      <c r="BI81" s="440"/>
      <c r="BJ81" s="440"/>
      <c r="BK81" s="440"/>
      <c r="BL81" s="440"/>
      <c r="BM81" s="440"/>
      <c r="BN81" s="440"/>
      <c r="BO81" s="440"/>
      <c r="BP81" s="440"/>
      <c r="BQ81" s="440"/>
      <c r="BR81" s="440"/>
      <c r="BS81" s="440"/>
      <c r="BT81" s="440"/>
      <c r="BU81" s="440"/>
      <c r="BV81" s="440"/>
      <c r="BW81" s="440"/>
      <c r="CF81" s="440"/>
      <c r="CG81" s="440"/>
    </row>
    <row r="82" spans="2:85" ht="14.4" x14ac:dyDescent="0.3">
      <c r="B82" s="412">
        <v>6</v>
      </c>
      <c r="C82" s="413">
        <f t="shared" si="146"/>
        <v>0</v>
      </c>
      <c r="D82" s="414">
        <v>0.5</v>
      </c>
      <c r="E82" s="414">
        <v>0.9</v>
      </c>
      <c r="F82" s="414">
        <v>0</v>
      </c>
      <c r="G82" s="414">
        <v>0.3</v>
      </c>
      <c r="H82" s="414">
        <v>0.5</v>
      </c>
      <c r="I82" s="414">
        <v>0.4</v>
      </c>
      <c r="J82" s="414"/>
      <c r="K82" s="415">
        <v>7</v>
      </c>
      <c r="Y82" s="417" t="s">
        <v>427</v>
      </c>
      <c r="AG82" s="428" t="s">
        <v>428</v>
      </c>
      <c r="AH82" s="30" t="s">
        <v>282</v>
      </c>
      <c r="AI82" s="30" t="s">
        <v>282</v>
      </c>
      <c r="AJ82" s="403" t="s">
        <v>223</v>
      </c>
      <c r="AL82" s="321" t="s">
        <v>288</v>
      </c>
      <c r="AM82" s="417" t="s">
        <v>251</v>
      </c>
      <c r="AN82" s="429">
        <v>2</v>
      </c>
      <c r="AO82" s="430">
        <v>1.5</v>
      </c>
      <c r="AP82" s="30"/>
      <c r="BG82" s="440"/>
      <c r="BH82" s="440"/>
      <c r="BI82" s="440"/>
      <c r="BJ82" s="440"/>
      <c r="BK82" s="440"/>
      <c r="BL82" s="440"/>
      <c r="BM82" s="440"/>
      <c r="BN82" s="440"/>
      <c r="BO82" s="440"/>
      <c r="BP82" s="440"/>
      <c r="BQ82" s="440"/>
      <c r="BR82" s="440"/>
      <c r="BS82" s="440"/>
      <c r="BT82" s="440"/>
      <c r="BU82" s="440"/>
      <c r="BV82" s="440"/>
      <c r="BW82" s="440"/>
      <c r="CF82" s="440"/>
      <c r="CG82" s="440"/>
    </row>
    <row r="83" spans="2:85" ht="14.4" x14ac:dyDescent="0.3">
      <c r="B83" s="412">
        <v>7</v>
      </c>
      <c r="C83" s="413">
        <f t="shared" si="146"/>
        <v>0</v>
      </c>
      <c r="D83" s="414">
        <v>0.4</v>
      </c>
      <c r="E83" s="414">
        <v>0.8</v>
      </c>
      <c r="F83" s="414">
        <v>0</v>
      </c>
      <c r="G83" s="414">
        <v>0.2</v>
      </c>
      <c r="H83" s="414">
        <v>0.4</v>
      </c>
      <c r="I83" s="414">
        <v>0.3</v>
      </c>
      <c r="J83" s="414"/>
      <c r="K83" s="415">
        <v>8</v>
      </c>
      <c r="Y83" s="424" t="s">
        <v>119</v>
      </c>
      <c r="AG83" s="428" t="s">
        <v>429</v>
      </c>
      <c r="AH83" s="30" t="s">
        <v>282</v>
      </c>
      <c r="AI83" s="30" t="s">
        <v>282</v>
      </c>
      <c r="AJ83" s="403" t="s">
        <v>223</v>
      </c>
      <c r="AL83" s="321" t="s">
        <v>302</v>
      </c>
      <c r="AM83" s="417" t="s">
        <v>250</v>
      </c>
      <c r="AN83" s="429">
        <v>2</v>
      </c>
      <c r="AO83" s="430">
        <v>1.5</v>
      </c>
      <c r="AP83" s="30"/>
      <c r="BG83" s="440"/>
      <c r="BH83" s="440"/>
      <c r="BI83" s="440"/>
      <c r="BJ83" s="440"/>
      <c r="BK83" s="440"/>
      <c r="BL83" s="440"/>
      <c r="BM83" s="440"/>
      <c r="BN83" s="440"/>
      <c r="BO83" s="440"/>
      <c r="BP83" s="440"/>
      <c r="BQ83" s="440"/>
      <c r="BR83" s="440"/>
      <c r="BS83" s="440"/>
      <c r="BT83" s="440"/>
      <c r="BU83" s="440"/>
      <c r="BV83" s="440"/>
      <c r="BW83" s="440"/>
      <c r="CF83" s="440"/>
      <c r="CG83" s="440"/>
    </row>
    <row r="84" spans="2:85" ht="14.4" x14ac:dyDescent="0.3">
      <c r="B84" s="412">
        <v>8</v>
      </c>
      <c r="C84" s="413">
        <f t="shared" si="146"/>
        <v>0</v>
      </c>
      <c r="D84" s="414">
        <v>0.3</v>
      </c>
      <c r="E84" s="414">
        <v>0.7</v>
      </c>
      <c r="F84" s="414">
        <v>0</v>
      </c>
      <c r="G84" s="414">
        <v>0.1</v>
      </c>
      <c r="H84" s="414">
        <v>0.3</v>
      </c>
      <c r="I84" s="414">
        <v>0.2</v>
      </c>
      <c r="J84" s="414"/>
      <c r="K84" s="415">
        <v>9</v>
      </c>
      <c r="AG84" s="428" t="s">
        <v>97</v>
      </c>
      <c r="AH84" s="30" t="s">
        <v>282</v>
      </c>
      <c r="AI84" s="30" t="s">
        <v>282</v>
      </c>
      <c r="AJ84" s="403" t="s">
        <v>223</v>
      </c>
      <c r="AL84" s="321" t="s">
        <v>302</v>
      </c>
      <c r="AM84" s="417" t="s">
        <v>251</v>
      </c>
      <c r="AN84" s="429">
        <v>2</v>
      </c>
      <c r="AO84" s="430">
        <v>1.5</v>
      </c>
      <c r="AP84" s="30"/>
      <c r="BG84" s="440"/>
      <c r="BH84" s="440"/>
      <c r="BI84" s="440"/>
      <c r="BJ84" s="440"/>
      <c r="BK84" s="440"/>
      <c r="BL84" s="440"/>
      <c r="BM84" s="440"/>
      <c r="BN84" s="440"/>
      <c r="BO84" s="440"/>
      <c r="BP84" s="440"/>
      <c r="BQ84" s="440"/>
      <c r="BR84" s="440"/>
      <c r="BS84" s="440"/>
      <c r="BT84" s="440"/>
      <c r="BU84" s="440"/>
      <c r="BV84" s="440"/>
      <c r="BW84" s="440"/>
      <c r="CF84" s="440"/>
      <c r="CG84" s="440"/>
    </row>
    <row r="85" spans="2:85" ht="14.4" x14ac:dyDescent="0.3">
      <c r="B85" s="412">
        <v>9</v>
      </c>
      <c r="C85" s="413">
        <f t="shared" si="146"/>
        <v>0</v>
      </c>
      <c r="D85" s="414">
        <v>0.2</v>
      </c>
      <c r="E85" s="414">
        <v>0.6</v>
      </c>
      <c r="F85" s="414">
        <v>0</v>
      </c>
      <c r="G85" s="414">
        <v>0</v>
      </c>
      <c r="H85" s="414">
        <v>0.2</v>
      </c>
      <c r="I85" s="414">
        <v>0.1</v>
      </c>
      <c r="J85" s="414"/>
      <c r="K85" s="415">
        <v>10</v>
      </c>
      <c r="Y85" s="290" t="s">
        <v>430</v>
      </c>
      <c r="Z85" s="441" t="s">
        <v>431</v>
      </c>
      <c r="AG85" s="428" t="s">
        <v>432</v>
      </c>
      <c r="AH85" s="30" t="s">
        <v>282</v>
      </c>
      <c r="AI85" s="30" t="s">
        <v>282</v>
      </c>
      <c r="AJ85" s="403" t="s">
        <v>223</v>
      </c>
      <c r="AL85" s="321" t="s">
        <v>319</v>
      </c>
      <c r="AM85" s="417" t="s">
        <v>250</v>
      </c>
      <c r="AN85" s="429">
        <v>2</v>
      </c>
      <c r="AO85" s="430">
        <v>1.5</v>
      </c>
      <c r="AP85" s="442"/>
      <c r="BG85" s="440"/>
      <c r="BH85" s="440"/>
      <c r="BI85" s="440"/>
      <c r="BJ85" s="440"/>
      <c r="BK85" s="440"/>
      <c r="BL85" s="440"/>
      <c r="BM85" s="440"/>
      <c r="BN85" s="440"/>
      <c r="BO85" s="440"/>
      <c r="BP85" s="440"/>
      <c r="BQ85" s="440"/>
      <c r="BR85" s="440"/>
      <c r="BS85" s="440"/>
      <c r="BT85" s="440"/>
      <c r="BU85" s="440"/>
      <c r="BV85" s="440"/>
      <c r="BW85" s="440"/>
      <c r="CF85" s="440"/>
      <c r="CG85" s="440"/>
    </row>
    <row r="86" spans="2:85" ht="14.4" x14ac:dyDescent="0.3">
      <c r="B86" s="412">
        <v>10</v>
      </c>
      <c r="C86" s="413">
        <f t="shared" si="146"/>
        <v>0</v>
      </c>
      <c r="D86" s="414">
        <v>0.1</v>
      </c>
      <c r="E86" s="414">
        <v>0.5</v>
      </c>
      <c r="F86" s="414">
        <v>0</v>
      </c>
      <c r="G86" s="414">
        <v>0</v>
      </c>
      <c r="H86" s="414">
        <v>0.1</v>
      </c>
      <c r="I86" s="414">
        <v>0</v>
      </c>
      <c r="J86" s="414"/>
      <c r="K86" s="415">
        <v>11</v>
      </c>
      <c r="Y86" s="321" t="s">
        <v>337</v>
      </c>
      <c r="Z86" s="9">
        <v>1</v>
      </c>
      <c r="AG86" s="428" t="s">
        <v>433</v>
      </c>
      <c r="AH86" s="30" t="s">
        <v>282</v>
      </c>
      <c r="AI86" s="30" t="s">
        <v>282</v>
      </c>
      <c r="AJ86" s="403" t="s">
        <v>223</v>
      </c>
      <c r="AL86" s="321" t="s">
        <v>319</v>
      </c>
      <c r="AM86" s="417" t="s">
        <v>251</v>
      </c>
      <c r="AN86" s="429">
        <v>2</v>
      </c>
      <c r="AO86" s="430">
        <v>1.5</v>
      </c>
      <c r="AP86" s="30"/>
      <c r="BG86" s="440"/>
      <c r="BH86" s="440"/>
      <c r="BI86" s="440"/>
      <c r="BJ86" s="440"/>
      <c r="BK86" s="440"/>
      <c r="BL86" s="440"/>
      <c r="BM86" s="440"/>
      <c r="BN86" s="440"/>
      <c r="BO86" s="440"/>
      <c r="BP86" s="440"/>
      <c r="BQ86" s="440"/>
      <c r="BR86" s="440"/>
      <c r="BS86" s="440"/>
      <c r="BT86" s="440"/>
      <c r="BU86" s="440"/>
      <c r="BV86" s="440"/>
      <c r="BW86" s="440"/>
      <c r="CF86" s="440"/>
      <c r="CG86" s="440"/>
    </row>
    <row r="87" spans="2:85" ht="14.4" x14ac:dyDescent="0.3">
      <c r="B87" s="412">
        <v>11</v>
      </c>
      <c r="C87" s="413">
        <f t="shared" si="146"/>
        <v>0</v>
      </c>
      <c r="D87" s="414">
        <v>0</v>
      </c>
      <c r="E87" s="414">
        <v>0</v>
      </c>
      <c r="F87" s="414">
        <v>0</v>
      </c>
      <c r="G87" s="414">
        <v>0</v>
      </c>
      <c r="H87" s="414">
        <v>0</v>
      </c>
      <c r="I87" s="414">
        <v>0</v>
      </c>
      <c r="J87" s="414"/>
      <c r="K87" s="415">
        <v>12</v>
      </c>
      <c r="Y87" s="321" t="s">
        <v>434</v>
      </c>
      <c r="Z87" s="9">
        <v>2</v>
      </c>
      <c r="AG87" s="428" t="s">
        <v>435</v>
      </c>
      <c r="AH87" s="30" t="s">
        <v>223</v>
      </c>
      <c r="AI87" s="30" t="s">
        <v>282</v>
      </c>
      <c r="AJ87" s="403" t="s">
        <v>223</v>
      </c>
      <c r="AL87" s="321" t="s">
        <v>314</v>
      </c>
      <c r="AM87" s="417" t="s">
        <v>250</v>
      </c>
      <c r="AN87" s="429">
        <v>2</v>
      </c>
      <c r="AO87" s="430">
        <v>1.5</v>
      </c>
      <c r="AP87" s="30"/>
      <c r="BG87" s="440"/>
      <c r="BH87" s="440"/>
      <c r="BI87" s="440"/>
      <c r="BJ87" s="440"/>
      <c r="BK87" s="440"/>
      <c r="BL87" s="440"/>
      <c r="BM87" s="440"/>
      <c r="BN87" s="440"/>
      <c r="BO87" s="440"/>
      <c r="BP87" s="440"/>
      <c r="BQ87" s="440"/>
      <c r="BR87" s="440"/>
      <c r="BS87" s="440"/>
      <c r="BT87" s="440"/>
      <c r="BU87" s="440"/>
      <c r="BV87" s="440"/>
      <c r="BW87" s="440"/>
      <c r="CF87" s="440"/>
      <c r="CG87" s="440"/>
    </row>
    <row r="88" spans="2:85" ht="14.4" x14ac:dyDescent="0.3">
      <c r="B88" s="412">
        <v>12</v>
      </c>
      <c r="C88" s="413">
        <f t="shared" si="146"/>
        <v>0</v>
      </c>
      <c r="D88" s="414">
        <v>0</v>
      </c>
      <c r="E88" s="414">
        <v>0</v>
      </c>
      <c r="F88" s="414">
        <v>0</v>
      </c>
      <c r="G88" s="414">
        <v>0</v>
      </c>
      <c r="H88" s="414">
        <v>0</v>
      </c>
      <c r="I88" s="414">
        <v>0</v>
      </c>
      <c r="J88" s="414"/>
      <c r="K88" s="415">
        <v>13</v>
      </c>
      <c r="Y88" s="321" t="s">
        <v>436</v>
      </c>
      <c r="Z88" s="9">
        <v>4</v>
      </c>
      <c r="AG88" s="428" t="s">
        <v>437</v>
      </c>
      <c r="AH88" s="30" t="s">
        <v>282</v>
      </c>
      <c r="AI88" s="30" t="s">
        <v>282</v>
      </c>
      <c r="AJ88" s="403" t="s">
        <v>223</v>
      </c>
      <c r="AL88" s="321" t="s">
        <v>314</v>
      </c>
      <c r="AM88" s="417" t="s">
        <v>251</v>
      </c>
      <c r="AN88" s="429">
        <v>2</v>
      </c>
      <c r="AO88" s="430">
        <v>1.5</v>
      </c>
      <c r="AP88" s="30"/>
      <c r="BG88" s="440"/>
      <c r="BH88" s="440"/>
      <c r="BI88" s="440"/>
      <c r="BJ88" s="440"/>
      <c r="BK88" s="440"/>
      <c r="BL88" s="440"/>
      <c r="BM88" s="440"/>
      <c r="BN88" s="440"/>
      <c r="BO88" s="440"/>
      <c r="BP88" s="440"/>
      <c r="BQ88" s="440"/>
      <c r="BR88" s="440"/>
      <c r="BS88" s="440"/>
      <c r="BT88" s="440"/>
      <c r="BU88" s="440"/>
      <c r="BV88" s="440"/>
      <c r="BW88" s="440"/>
      <c r="CF88" s="440"/>
      <c r="CG88" s="440"/>
    </row>
    <row r="89" spans="2:85" ht="14.4" x14ac:dyDescent="0.3">
      <c r="B89" s="412">
        <v>13</v>
      </c>
      <c r="C89" s="413">
        <f t="shared" si="146"/>
        <v>0</v>
      </c>
      <c r="D89" s="414">
        <v>0</v>
      </c>
      <c r="E89" s="414">
        <v>0</v>
      </c>
      <c r="F89" s="414">
        <v>0</v>
      </c>
      <c r="G89" s="414">
        <v>0</v>
      </c>
      <c r="H89" s="414">
        <v>0</v>
      </c>
      <c r="I89" s="414">
        <v>0</v>
      </c>
      <c r="J89" s="414"/>
      <c r="K89" s="415">
        <v>14</v>
      </c>
      <c r="Y89" s="354" t="s">
        <v>123</v>
      </c>
      <c r="Z89" s="421">
        <v>12</v>
      </c>
      <c r="AG89" s="428" t="s">
        <v>438</v>
      </c>
      <c r="AH89" s="30" t="s">
        <v>282</v>
      </c>
      <c r="AI89" s="30" t="s">
        <v>282</v>
      </c>
      <c r="AJ89" s="403" t="s">
        <v>282</v>
      </c>
      <c r="AL89" s="321" t="s">
        <v>317</v>
      </c>
      <c r="AM89" s="417" t="s">
        <v>250</v>
      </c>
      <c r="AN89" s="429">
        <v>2</v>
      </c>
      <c r="AO89" s="430">
        <v>1.5</v>
      </c>
      <c r="AP89" s="30"/>
      <c r="BG89" s="440"/>
      <c r="BH89" s="440"/>
      <c r="BI89" s="440"/>
      <c r="BJ89" s="440"/>
      <c r="BK89" s="440"/>
      <c r="BL89" s="440"/>
      <c r="BM89" s="440"/>
      <c r="BN89" s="440"/>
      <c r="BO89" s="440"/>
      <c r="BP89" s="440"/>
      <c r="BQ89" s="440"/>
      <c r="BR89" s="440"/>
      <c r="BS89" s="440"/>
      <c r="BT89" s="440"/>
      <c r="BU89" s="440"/>
      <c r="BV89" s="440"/>
      <c r="BW89" s="440"/>
      <c r="CF89" s="440"/>
      <c r="CG89" s="440"/>
    </row>
    <row r="90" spans="2:85" ht="14.4" x14ac:dyDescent="0.3">
      <c r="B90" s="412">
        <v>14</v>
      </c>
      <c r="C90" s="413">
        <f t="shared" si="146"/>
        <v>0</v>
      </c>
      <c r="D90" s="414">
        <v>0</v>
      </c>
      <c r="E90" s="414">
        <v>0</v>
      </c>
      <c r="F90" s="414">
        <v>0</v>
      </c>
      <c r="G90" s="414">
        <v>0</v>
      </c>
      <c r="H90" s="414">
        <v>0</v>
      </c>
      <c r="I90" s="414">
        <v>0</v>
      </c>
      <c r="J90" s="414"/>
      <c r="K90" s="415">
        <v>15</v>
      </c>
      <c r="AG90" s="428" t="s">
        <v>439</v>
      </c>
      <c r="AH90" s="30" t="s">
        <v>282</v>
      </c>
      <c r="AI90" s="30" t="s">
        <v>282</v>
      </c>
      <c r="AJ90" s="403" t="s">
        <v>223</v>
      </c>
      <c r="AL90" s="321" t="s">
        <v>317</v>
      </c>
      <c r="AM90" s="417" t="s">
        <v>251</v>
      </c>
      <c r="AN90" s="429">
        <v>2</v>
      </c>
      <c r="AO90" s="430">
        <v>1.5</v>
      </c>
      <c r="AP90" s="30"/>
      <c r="BG90" s="440"/>
      <c r="BH90" s="440"/>
      <c r="BI90" s="440"/>
      <c r="BJ90" s="440"/>
      <c r="BK90" s="440"/>
      <c r="BL90" s="440"/>
      <c r="BM90" s="440"/>
      <c r="BN90" s="440"/>
      <c r="BO90" s="440"/>
      <c r="BP90" s="440"/>
      <c r="BQ90" s="440"/>
      <c r="BR90" s="440"/>
      <c r="BS90" s="440"/>
      <c r="BT90" s="440"/>
      <c r="BU90" s="440"/>
      <c r="BV90" s="440"/>
      <c r="BW90" s="440"/>
      <c r="CF90" s="440"/>
      <c r="CG90" s="440"/>
    </row>
    <row r="91" spans="2:85" ht="14.4" x14ac:dyDescent="0.3">
      <c r="B91" s="431">
        <v>100</v>
      </c>
      <c r="C91" s="432">
        <f t="shared" si="146"/>
        <v>0</v>
      </c>
      <c r="D91" s="433">
        <v>0</v>
      </c>
      <c r="E91" s="433">
        <v>0</v>
      </c>
      <c r="F91" s="433">
        <v>0</v>
      </c>
      <c r="G91" s="433">
        <v>0</v>
      </c>
      <c r="H91" s="433">
        <v>0</v>
      </c>
      <c r="I91" s="433">
        <v>0</v>
      </c>
      <c r="J91" s="433"/>
      <c r="K91" s="434">
        <v>16</v>
      </c>
      <c r="AG91" s="428" t="s">
        <v>440</v>
      </c>
      <c r="AH91" s="30" t="s">
        <v>223</v>
      </c>
      <c r="AI91" s="30" t="s">
        <v>282</v>
      </c>
      <c r="AJ91" s="403" t="s">
        <v>223</v>
      </c>
      <c r="AL91" s="321"/>
      <c r="AM91" s="417"/>
      <c r="AN91" s="429"/>
      <c r="AO91" s="430"/>
      <c r="AP91" s="30"/>
      <c r="BG91" s="440"/>
      <c r="BH91" s="440"/>
      <c r="BI91" s="440"/>
      <c r="BJ91" s="440"/>
      <c r="BK91" s="440"/>
      <c r="BL91" s="440"/>
      <c r="BM91" s="440"/>
      <c r="BN91" s="440"/>
      <c r="BO91" s="440"/>
      <c r="BP91" s="440"/>
      <c r="BQ91" s="440"/>
      <c r="BR91" s="440"/>
      <c r="BS91" s="440"/>
      <c r="BT91" s="440"/>
      <c r="BU91" s="440"/>
      <c r="BV91" s="440"/>
      <c r="BW91" s="440"/>
      <c r="CF91" s="440"/>
      <c r="CG91" s="440"/>
    </row>
    <row r="92" spans="2:85" x14ac:dyDescent="0.3">
      <c r="AG92" s="428" t="s">
        <v>441</v>
      </c>
      <c r="AH92" s="30" t="s">
        <v>223</v>
      </c>
      <c r="AI92" s="30" t="s">
        <v>282</v>
      </c>
      <c r="AJ92" s="403" t="s">
        <v>282</v>
      </c>
      <c r="AL92" s="321"/>
      <c r="AM92" s="417"/>
      <c r="AN92" s="429"/>
      <c r="AO92" s="430"/>
      <c r="AP92" s="30"/>
      <c r="BG92" s="440"/>
      <c r="BH92" s="440"/>
      <c r="BI92" s="440"/>
      <c r="BJ92" s="440"/>
      <c r="BK92" s="440"/>
      <c r="BL92" s="440"/>
      <c r="BM92" s="440"/>
      <c r="BN92" s="440"/>
      <c r="BO92" s="440"/>
      <c r="BP92" s="440"/>
      <c r="BQ92" s="440"/>
      <c r="BR92" s="440"/>
      <c r="BS92" s="440"/>
      <c r="BT92" s="440"/>
      <c r="BU92" s="440"/>
      <c r="BV92" s="440"/>
      <c r="BW92" s="440"/>
      <c r="CF92" s="440"/>
      <c r="CG92" s="440"/>
    </row>
    <row r="93" spans="2:85" ht="26.4" x14ac:dyDescent="0.3">
      <c r="B93" s="406" t="s">
        <v>370</v>
      </c>
      <c r="C93" s="407" t="s">
        <v>442</v>
      </c>
      <c r="D93" s="408">
        <v>1</v>
      </c>
      <c r="E93" s="408">
        <v>2</v>
      </c>
      <c r="F93" s="409" t="s">
        <v>372</v>
      </c>
      <c r="G93" s="1" t="s">
        <v>443</v>
      </c>
      <c r="AG93" s="428" t="s">
        <v>444</v>
      </c>
      <c r="AH93" s="30" t="s">
        <v>282</v>
      </c>
      <c r="AI93" s="30" t="s">
        <v>282</v>
      </c>
      <c r="AJ93" s="403" t="s">
        <v>223</v>
      </c>
      <c r="AL93" s="321"/>
      <c r="AM93" s="417"/>
      <c r="AN93" s="429"/>
      <c r="AO93" s="430"/>
      <c r="AP93" s="30"/>
      <c r="BG93" s="440"/>
      <c r="BH93" s="440"/>
      <c r="BI93" s="440"/>
      <c r="BJ93" s="440"/>
      <c r="BK93" s="440"/>
      <c r="BL93" s="440"/>
      <c r="BM93" s="440"/>
      <c r="BN93" s="440"/>
      <c r="BO93" s="440"/>
      <c r="BP93" s="440"/>
      <c r="BQ93" s="440"/>
      <c r="BR93" s="440"/>
      <c r="BS93" s="440"/>
      <c r="BT93" s="440"/>
      <c r="BU93" s="440"/>
      <c r="BV93" s="440"/>
      <c r="BW93" s="440"/>
      <c r="CF93" s="440"/>
      <c r="CG93" s="440"/>
    </row>
    <row r="94" spans="2:85" ht="14.4" x14ac:dyDescent="0.3">
      <c r="B94" s="443">
        <v>11</v>
      </c>
      <c r="C94" s="444">
        <f>HLOOKUP($F$53,$D$93:$E$94,$F94,FALSE)</f>
        <v>2</v>
      </c>
      <c r="D94" s="445">
        <v>2</v>
      </c>
      <c r="E94" s="445">
        <v>0</v>
      </c>
      <c r="F94" s="434">
        <v>2</v>
      </c>
      <c r="AG94" s="428" t="s">
        <v>445</v>
      </c>
      <c r="AH94" s="30" t="s">
        <v>282</v>
      </c>
      <c r="AI94" s="30" t="s">
        <v>282</v>
      </c>
      <c r="AJ94" s="403" t="s">
        <v>223</v>
      </c>
      <c r="AL94" s="321"/>
      <c r="AM94" s="417"/>
      <c r="AN94" s="429"/>
      <c r="AO94" s="430"/>
      <c r="AP94" s="30"/>
      <c r="BG94" s="440"/>
      <c r="BH94" s="440"/>
      <c r="BI94" s="440"/>
      <c r="BJ94" s="440"/>
      <c r="BK94" s="440"/>
      <c r="BL94" s="440"/>
      <c r="BM94" s="440"/>
      <c r="BN94" s="440"/>
      <c r="BO94" s="440"/>
      <c r="BP94" s="440"/>
      <c r="BQ94" s="440"/>
      <c r="BR94" s="440"/>
      <c r="BS94" s="440"/>
      <c r="BT94" s="440"/>
      <c r="BU94" s="440"/>
      <c r="BV94" s="440"/>
      <c r="BW94" s="440"/>
      <c r="CF94" s="440"/>
      <c r="CG94" s="440"/>
    </row>
    <row r="95" spans="2:85" x14ac:dyDescent="0.3">
      <c r="AG95" s="428" t="s">
        <v>446</v>
      </c>
      <c r="AH95" s="30" t="s">
        <v>282</v>
      </c>
      <c r="AI95" s="30" t="s">
        <v>282</v>
      </c>
      <c r="AJ95" s="403" t="s">
        <v>223</v>
      </c>
      <c r="AL95" s="321"/>
      <c r="AM95" s="417"/>
      <c r="AN95" s="429"/>
      <c r="AO95" s="430"/>
      <c r="AP95" s="30"/>
      <c r="BG95" s="440"/>
      <c r="BH95" s="440"/>
      <c r="BI95" s="440"/>
      <c r="BJ95" s="440"/>
      <c r="BK95" s="440"/>
      <c r="BL95" s="440"/>
      <c r="BM95" s="440"/>
      <c r="BN95" s="440"/>
      <c r="BO95" s="440"/>
      <c r="BP95" s="440"/>
      <c r="BQ95" s="440"/>
      <c r="BR95" s="440"/>
      <c r="BS95" s="440"/>
      <c r="BT95" s="440"/>
      <c r="BU95" s="440"/>
      <c r="BV95" s="440"/>
      <c r="BW95" s="440"/>
      <c r="CF95" s="440"/>
      <c r="CG95" s="440"/>
    </row>
    <row r="96" spans="2:85" x14ac:dyDescent="0.3">
      <c r="C96" s="446" t="s">
        <v>152</v>
      </c>
      <c r="D96" s="291">
        <v>1</v>
      </c>
      <c r="E96" s="291">
        <v>2</v>
      </c>
      <c r="F96" s="291">
        <v>3</v>
      </c>
      <c r="G96" s="291">
        <v>4</v>
      </c>
      <c r="H96" s="291">
        <v>5</v>
      </c>
      <c r="I96" s="291">
        <v>6</v>
      </c>
      <c r="J96" s="291">
        <v>7</v>
      </c>
      <c r="K96" s="291">
        <v>8</v>
      </c>
      <c r="L96" s="292" t="s">
        <v>372</v>
      </c>
      <c r="AG96" s="428" t="s">
        <v>447</v>
      </c>
      <c r="AH96" s="30" t="s">
        <v>223</v>
      </c>
      <c r="AI96" s="30" t="s">
        <v>282</v>
      </c>
      <c r="AJ96" s="403" t="s">
        <v>223</v>
      </c>
      <c r="AL96" s="321"/>
      <c r="AM96" s="417"/>
      <c r="AN96" s="429"/>
      <c r="AO96" s="430"/>
      <c r="AP96" s="30"/>
      <c r="BG96" s="440"/>
      <c r="BH96" s="440"/>
      <c r="BI96" s="440"/>
      <c r="BJ96" s="440"/>
      <c r="BK96" s="440"/>
      <c r="BL96" s="440"/>
      <c r="BM96" s="440"/>
      <c r="BN96" s="440"/>
      <c r="BO96" s="440"/>
      <c r="BP96" s="440"/>
      <c r="BQ96" s="440"/>
      <c r="BR96" s="440"/>
      <c r="BS96" s="440"/>
      <c r="BT96" s="440"/>
      <c r="BU96" s="440"/>
      <c r="BV96" s="440"/>
      <c r="BW96" s="440"/>
      <c r="CF96" s="440"/>
      <c r="CG96" s="440"/>
    </row>
    <row r="97" spans="2:85" ht="14.4" x14ac:dyDescent="0.3">
      <c r="C97" s="375">
        <f>HLOOKUP($H$53,$D$96:$K$97,$L97,FALSE)</f>
        <v>0</v>
      </c>
      <c r="D97" s="447">
        <v>5.7500000000000002E-2</v>
      </c>
      <c r="E97" s="447">
        <v>6.5000000000000002E-2</v>
      </c>
      <c r="F97" s="447">
        <v>7.0000000000000007E-2</v>
      </c>
      <c r="G97" s="447">
        <v>0.08</v>
      </c>
      <c r="H97" s="447">
        <v>8.5000000000000006E-2</v>
      </c>
      <c r="I97" s="447">
        <v>0.09</v>
      </c>
      <c r="J97" s="447">
        <v>0.1</v>
      </c>
      <c r="K97" s="447">
        <v>0</v>
      </c>
      <c r="L97" s="434">
        <v>2</v>
      </c>
      <c r="AG97" s="428" t="s">
        <v>448</v>
      </c>
      <c r="AH97" s="30" t="s">
        <v>282</v>
      </c>
      <c r="AI97" s="30" t="s">
        <v>282</v>
      </c>
      <c r="AJ97" s="403" t="s">
        <v>223</v>
      </c>
      <c r="AL97" s="321"/>
      <c r="AM97" s="417"/>
      <c r="AN97" s="429"/>
      <c r="AO97" s="430"/>
      <c r="AP97" s="30"/>
      <c r="BG97" s="440"/>
      <c r="BH97" s="440"/>
      <c r="BI97" s="440"/>
      <c r="BJ97" s="440"/>
      <c r="BK97" s="440"/>
      <c r="BL97" s="440"/>
      <c r="BM97" s="440"/>
      <c r="BN97" s="440"/>
      <c r="BO97" s="440"/>
      <c r="BP97" s="440"/>
      <c r="BQ97" s="440"/>
      <c r="BR97" s="440"/>
      <c r="BS97" s="440"/>
      <c r="BT97" s="440"/>
      <c r="BU97" s="440"/>
      <c r="BV97" s="440"/>
      <c r="BW97" s="440"/>
      <c r="CF97" s="440"/>
      <c r="CG97" s="440"/>
    </row>
    <row r="98" spans="2:85" x14ac:dyDescent="0.3">
      <c r="AG98" s="428" t="s">
        <v>449</v>
      </c>
      <c r="AH98" s="30" t="s">
        <v>282</v>
      </c>
      <c r="AI98" s="30" t="s">
        <v>282</v>
      </c>
      <c r="AJ98" s="403" t="s">
        <v>282</v>
      </c>
      <c r="AL98" s="321"/>
      <c r="AM98" s="417"/>
      <c r="AN98" s="429"/>
      <c r="AO98" s="430"/>
      <c r="AP98" s="30"/>
      <c r="BG98" s="440"/>
      <c r="BH98" s="440"/>
      <c r="BI98" s="440"/>
      <c r="BJ98" s="440"/>
      <c r="BK98" s="440"/>
      <c r="BL98" s="440"/>
      <c r="BM98" s="440"/>
      <c r="BN98" s="440"/>
      <c r="BO98" s="440"/>
      <c r="BP98" s="440"/>
      <c r="BQ98" s="440"/>
      <c r="BR98" s="440"/>
      <c r="BS98" s="440"/>
      <c r="BT98" s="440"/>
      <c r="BU98" s="440"/>
      <c r="BV98" s="440"/>
      <c r="BW98" s="440"/>
      <c r="CF98" s="440"/>
      <c r="CG98" s="440"/>
    </row>
    <row r="99" spans="2:85" x14ac:dyDescent="0.3">
      <c r="C99" s="446" t="s">
        <v>55</v>
      </c>
      <c r="D99" s="291">
        <v>1</v>
      </c>
      <c r="E99" s="291">
        <v>2</v>
      </c>
      <c r="F99" s="291">
        <v>3</v>
      </c>
      <c r="G99" s="291">
        <v>4</v>
      </c>
      <c r="H99" s="292" t="s">
        <v>372</v>
      </c>
      <c r="AG99" s="428" t="s">
        <v>450</v>
      </c>
      <c r="AH99" s="30" t="s">
        <v>223</v>
      </c>
      <c r="AI99" s="30" t="s">
        <v>282</v>
      </c>
      <c r="AJ99" s="403" t="s">
        <v>223</v>
      </c>
      <c r="AL99" s="321"/>
      <c r="AM99" s="417"/>
      <c r="AN99" s="429"/>
      <c r="AO99" s="430"/>
      <c r="AP99" s="30"/>
      <c r="BG99" s="440"/>
      <c r="BH99" s="440"/>
      <c r="BI99" s="440"/>
      <c r="BJ99" s="440"/>
      <c r="BK99" s="440"/>
      <c r="BL99" s="440"/>
      <c r="BM99" s="440"/>
      <c r="BN99" s="440"/>
      <c r="BO99" s="440"/>
      <c r="BP99" s="440"/>
      <c r="BQ99" s="440"/>
      <c r="BR99" s="440"/>
      <c r="BS99" s="440"/>
      <c r="BT99" s="440"/>
      <c r="BU99" s="440"/>
      <c r="BV99" s="440"/>
      <c r="BW99" s="440"/>
      <c r="CF99" s="440"/>
      <c r="CG99" s="440"/>
    </row>
    <row r="100" spans="2:85" ht="14.4" x14ac:dyDescent="0.3">
      <c r="C100" s="375">
        <f>IF(LBInd="No",0,HLOOKUP($I$53,$D$99:$G$100,$H100,FALSE))</f>
        <v>0</v>
      </c>
      <c r="D100" s="447">
        <v>9.4999999999999998E-3</v>
      </c>
      <c r="E100" s="447">
        <v>0.01</v>
      </c>
      <c r="F100" s="447">
        <v>1.0999999999999999E-2</v>
      </c>
      <c r="G100" s="447">
        <v>0</v>
      </c>
      <c r="H100" s="434">
        <v>2</v>
      </c>
      <c r="AG100" s="428" t="s">
        <v>451</v>
      </c>
      <c r="AH100" s="30" t="s">
        <v>282</v>
      </c>
      <c r="AI100" s="30" t="s">
        <v>282</v>
      </c>
      <c r="AJ100" s="403" t="s">
        <v>223</v>
      </c>
      <c r="AL100" s="321"/>
      <c r="AM100" s="417"/>
      <c r="AN100" s="429"/>
      <c r="AO100" s="430"/>
      <c r="AP100" s="442"/>
      <c r="BG100" s="440"/>
      <c r="BH100" s="440"/>
      <c r="BI100" s="440"/>
      <c r="BJ100" s="440"/>
      <c r="BK100" s="440"/>
      <c r="BL100" s="440"/>
      <c r="BM100" s="440"/>
      <c r="BN100" s="440"/>
      <c r="BO100" s="440"/>
      <c r="BP100" s="440"/>
      <c r="BQ100" s="440"/>
      <c r="BR100" s="440"/>
      <c r="BS100" s="440"/>
      <c r="BT100" s="440"/>
      <c r="BU100" s="440"/>
      <c r="BV100" s="440"/>
      <c r="BW100" s="440"/>
      <c r="CF100" s="440"/>
      <c r="CG100" s="440"/>
    </row>
    <row r="101" spans="2:85" x14ac:dyDescent="0.3">
      <c r="AG101" s="428" t="s">
        <v>452</v>
      </c>
      <c r="AH101" s="30" t="s">
        <v>223</v>
      </c>
      <c r="AI101" s="30" t="s">
        <v>282</v>
      </c>
      <c r="AJ101" s="403" t="s">
        <v>223</v>
      </c>
      <c r="AL101" s="321"/>
      <c r="AM101" s="417"/>
      <c r="AN101" s="429"/>
      <c r="AO101" s="430"/>
      <c r="AP101" s="448"/>
      <c r="BG101" s="440"/>
      <c r="BH101" s="440"/>
      <c r="BI101" s="440"/>
      <c r="BJ101" s="440"/>
      <c r="BK101" s="440"/>
      <c r="BL101" s="440"/>
      <c r="BM101" s="440"/>
      <c r="BN101" s="440"/>
      <c r="BO101" s="440"/>
      <c r="BP101" s="440"/>
      <c r="BQ101" s="440"/>
      <c r="BR101" s="440"/>
      <c r="BS101" s="440"/>
      <c r="BT101" s="440"/>
      <c r="BU101" s="440"/>
      <c r="BV101" s="440"/>
      <c r="BW101" s="440"/>
      <c r="CF101" s="440"/>
      <c r="CG101" s="440"/>
    </row>
    <row r="102" spans="2:85" x14ac:dyDescent="0.3">
      <c r="B102" s="406" t="s">
        <v>453</v>
      </c>
      <c r="C102" s="407" t="s">
        <v>57</v>
      </c>
      <c r="D102" s="291">
        <v>1</v>
      </c>
      <c r="E102" s="291">
        <v>2</v>
      </c>
      <c r="F102" s="291">
        <v>3</v>
      </c>
      <c r="G102" s="292" t="s">
        <v>372</v>
      </c>
      <c r="AG102" s="428" t="s">
        <v>454</v>
      </c>
      <c r="AH102" s="30" t="s">
        <v>223</v>
      </c>
      <c r="AI102" s="30" t="s">
        <v>282</v>
      </c>
      <c r="AJ102" s="403" t="s">
        <v>223</v>
      </c>
      <c r="AL102" s="321"/>
      <c r="AM102" s="417"/>
      <c r="AN102" s="429"/>
      <c r="AO102" s="430"/>
      <c r="AP102" s="30"/>
      <c r="BG102" s="440"/>
      <c r="BH102" s="440"/>
      <c r="BI102" s="440"/>
      <c r="BJ102" s="440"/>
      <c r="BK102" s="440"/>
      <c r="BL102" s="440"/>
      <c r="BM102" s="440"/>
      <c r="BN102" s="440"/>
      <c r="BO102" s="440"/>
      <c r="BP102" s="440"/>
      <c r="BQ102" s="440"/>
      <c r="BR102" s="440"/>
      <c r="BS102" s="440"/>
      <c r="BT102" s="440"/>
      <c r="BU102" s="440"/>
      <c r="BV102" s="440"/>
      <c r="BW102" s="440"/>
      <c r="CF102" s="440"/>
      <c r="CG102" s="440"/>
    </row>
    <row r="103" spans="2:85" ht="14.4" x14ac:dyDescent="0.3">
      <c r="B103" s="449" t="s">
        <v>455</v>
      </c>
      <c r="C103" s="450">
        <f>HLOOKUP($J$53,$D$102:$F$104,$G103,FALSE)</f>
        <v>0</v>
      </c>
      <c r="D103" s="451">
        <v>1.4999999999999999E-2</v>
      </c>
      <c r="E103" s="451">
        <v>0.01</v>
      </c>
      <c r="F103" s="451">
        <v>0</v>
      </c>
      <c r="G103" s="439">
        <v>2</v>
      </c>
      <c r="AG103" s="428" t="s">
        <v>456</v>
      </c>
      <c r="AH103" s="30" t="s">
        <v>223</v>
      </c>
      <c r="AI103" s="30" t="s">
        <v>282</v>
      </c>
      <c r="AJ103" s="403" t="s">
        <v>282</v>
      </c>
      <c r="AL103" s="321"/>
      <c r="AM103" s="417"/>
      <c r="AN103" s="429"/>
      <c r="AO103" s="430"/>
      <c r="AP103" s="30"/>
      <c r="BG103" s="440"/>
      <c r="BH103" s="440"/>
      <c r="BI103" s="440"/>
      <c r="BJ103" s="440"/>
      <c r="BK103" s="440"/>
      <c r="BL103" s="440"/>
      <c r="BM103" s="440"/>
      <c r="BN103" s="440"/>
      <c r="BO103" s="440"/>
      <c r="BP103" s="440"/>
      <c r="BQ103" s="440"/>
      <c r="BR103" s="440"/>
      <c r="BS103" s="440"/>
      <c r="BT103" s="440"/>
      <c r="BU103" s="440"/>
      <c r="BV103" s="440"/>
      <c r="BW103" s="440"/>
      <c r="CF103" s="440"/>
      <c r="CG103" s="440"/>
    </row>
    <row r="104" spans="2:85" ht="14.4" x14ac:dyDescent="0.3">
      <c r="B104" s="452" t="s">
        <v>457</v>
      </c>
      <c r="C104" s="376">
        <f>HLOOKUP($J$53,$D$102:$F$104,$G104,FALSE)</f>
        <v>0</v>
      </c>
      <c r="D104" s="447">
        <v>0.03</v>
      </c>
      <c r="E104" s="447">
        <v>0.02</v>
      </c>
      <c r="F104" s="447">
        <v>0</v>
      </c>
      <c r="G104" s="434">
        <v>3</v>
      </c>
      <c r="AG104" s="428" t="s">
        <v>458</v>
      </c>
      <c r="AH104" s="30" t="s">
        <v>282</v>
      </c>
      <c r="AI104" s="30" t="s">
        <v>282</v>
      </c>
      <c r="AJ104" s="403" t="s">
        <v>223</v>
      </c>
      <c r="AL104" s="321"/>
      <c r="AM104" s="417"/>
      <c r="AN104" s="429"/>
      <c r="AO104" s="430"/>
      <c r="AP104" s="30"/>
      <c r="BG104" s="440"/>
      <c r="BH104" s="440"/>
      <c r="BI104" s="440"/>
      <c r="BJ104" s="440"/>
      <c r="BK104" s="440"/>
      <c r="BL104" s="440"/>
      <c r="BM104" s="440"/>
      <c r="BN104" s="440"/>
      <c r="BO104" s="440"/>
      <c r="BP104" s="440"/>
      <c r="BQ104" s="440"/>
      <c r="BR104" s="440"/>
      <c r="BS104" s="440"/>
      <c r="BT104" s="440"/>
      <c r="BU104" s="440"/>
      <c r="BV104" s="440"/>
      <c r="BW104" s="440"/>
      <c r="CF104" s="440"/>
      <c r="CG104" s="440"/>
    </row>
    <row r="105" spans="2:85" x14ac:dyDescent="0.3">
      <c r="AG105" s="428" t="s">
        <v>459</v>
      </c>
      <c r="AH105" s="30" t="s">
        <v>223</v>
      </c>
      <c r="AI105" s="30" t="s">
        <v>282</v>
      </c>
      <c r="AJ105" s="403" t="s">
        <v>223</v>
      </c>
      <c r="AL105" s="354"/>
      <c r="AM105" s="424"/>
      <c r="AN105" s="453"/>
      <c r="AO105" s="454"/>
      <c r="AP105" s="30"/>
      <c r="BG105" s="440"/>
      <c r="BH105" s="440"/>
      <c r="BI105" s="440"/>
      <c r="BJ105" s="440"/>
      <c r="BK105" s="440"/>
      <c r="BL105" s="440"/>
      <c r="BM105" s="440"/>
      <c r="BN105" s="440"/>
      <c r="BO105" s="440"/>
      <c r="BP105" s="440"/>
      <c r="BQ105" s="440"/>
      <c r="BR105" s="440"/>
      <c r="BS105" s="440"/>
      <c r="BT105" s="440"/>
      <c r="BU105" s="440"/>
      <c r="BV105" s="440"/>
      <c r="BW105" s="440"/>
      <c r="CF105" s="440"/>
      <c r="CG105" s="440"/>
    </row>
    <row r="106" spans="2:85" ht="26.4" x14ac:dyDescent="0.3">
      <c r="C106" s="446" t="s">
        <v>460</v>
      </c>
      <c r="D106" s="291">
        <v>1</v>
      </c>
      <c r="E106" s="291">
        <v>2</v>
      </c>
      <c r="F106" s="291">
        <v>3</v>
      </c>
      <c r="G106" s="291">
        <v>4</v>
      </c>
      <c r="H106" s="291">
        <v>5</v>
      </c>
      <c r="I106" s="292" t="s">
        <v>372</v>
      </c>
      <c r="AG106" s="428" t="s">
        <v>461</v>
      </c>
      <c r="AH106" s="30" t="s">
        <v>223</v>
      </c>
      <c r="AI106" s="30" t="s">
        <v>282</v>
      </c>
      <c r="AJ106" s="403" t="s">
        <v>223</v>
      </c>
      <c r="AO106" s="30"/>
      <c r="AP106" s="30"/>
      <c r="BG106" s="440"/>
      <c r="BH106" s="440"/>
      <c r="BI106" s="440"/>
      <c r="BJ106" s="440"/>
      <c r="BK106" s="440"/>
      <c r="BL106" s="440"/>
      <c r="BM106" s="440"/>
      <c r="BN106" s="440"/>
      <c r="BO106" s="440"/>
      <c r="BP106" s="440"/>
      <c r="BQ106" s="440"/>
      <c r="BR106" s="440"/>
      <c r="BS106" s="440"/>
      <c r="BT106" s="440"/>
      <c r="BU106" s="440"/>
      <c r="BV106" s="440"/>
      <c r="BW106" s="440"/>
      <c r="CF106" s="440"/>
      <c r="CG106" s="440"/>
    </row>
    <row r="107" spans="2:85" ht="14.4" x14ac:dyDescent="0.3">
      <c r="C107" s="455">
        <f>HLOOKUP($K$53,$D$106:$H$107,$I107,FALSE)</f>
        <v>0</v>
      </c>
      <c r="D107" s="456">
        <v>11</v>
      </c>
      <c r="E107" s="456">
        <v>9</v>
      </c>
      <c r="F107" s="456">
        <v>8</v>
      </c>
      <c r="G107" s="456">
        <v>6</v>
      </c>
      <c r="H107" s="456">
        <v>0</v>
      </c>
      <c r="I107" s="434">
        <v>2</v>
      </c>
      <c r="AG107" s="428" t="s">
        <v>462</v>
      </c>
      <c r="AH107" s="30" t="s">
        <v>282</v>
      </c>
      <c r="AI107" s="30" t="s">
        <v>282</v>
      </c>
      <c r="AJ107" s="403" t="s">
        <v>282</v>
      </c>
      <c r="AQ107" s="30"/>
      <c r="BG107" s="440"/>
      <c r="BH107" s="440"/>
      <c r="BI107" s="440"/>
      <c r="BJ107" s="440"/>
      <c r="BK107" s="440"/>
      <c r="BL107" s="440"/>
      <c r="BM107" s="440"/>
      <c r="BN107" s="440"/>
      <c r="BO107" s="440"/>
      <c r="BP107" s="440"/>
      <c r="BQ107" s="440"/>
      <c r="BR107" s="440"/>
      <c r="BS107" s="440"/>
      <c r="BT107" s="440"/>
      <c r="BU107" s="440"/>
      <c r="BV107" s="440"/>
      <c r="BW107" s="440"/>
      <c r="CF107" s="440"/>
      <c r="CG107" s="440"/>
    </row>
    <row r="108" spans="2:85" x14ac:dyDescent="0.3">
      <c r="AG108" s="428" t="s">
        <v>463</v>
      </c>
      <c r="AH108" s="30" t="s">
        <v>223</v>
      </c>
      <c r="AI108" s="30" t="s">
        <v>282</v>
      </c>
      <c r="AJ108" s="403" t="s">
        <v>223</v>
      </c>
      <c r="BG108" s="440"/>
      <c r="BH108" s="440"/>
      <c r="BI108" s="440"/>
      <c r="BJ108" s="440"/>
      <c r="BK108" s="440"/>
      <c r="BL108" s="440"/>
      <c r="BM108" s="440"/>
      <c r="BN108" s="440"/>
      <c r="BO108" s="440"/>
      <c r="BP108" s="440"/>
      <c r="BQ108" s="440"/>
      <c r="BR108" s="440"/>
      <c r="BS108" s="440"/>
      <c r="BT108" s="440"/>
      <c r="BU108" s="440"/>
      <c r="BV108" s="440"/>
      <c r="BW108" s="440"/>
      <c r="CF108" s="440"/>
      <c r="CG108" s="440"/>
    </row>
    <row r="109" spans="2:85" x14ac:dyDescent="0.3">
      <c r="C109" s="446" t="s">
        <v>206</v>
      </c>
      <c r="D109" s="291">
        <v>1</v>
      </c>
      <c r="E109" s="291">
        <v>2</v>
      </c>
      <c r="F109" s="291">
        <v>3</v>
      </c>
      <c r="G109" s="291">
        <v>4</v>
      </c>
      <c r="H109" s="292" t="s">
        <v>372</v>
      </c>
      <c r="I109" s="1" t="s">
        <v>464</v>
      </c>
      <c r="J109" s="457"/>
      <c r="AG109" s="428" t="s">
        <v>465</v>
      </c>
      <c r="AH109" s="30" t="s">
        <v>223</v>
      </c>
      <c r="AI109" s="30" t="s">
        <v>282</v>
      </c>
      <c r="AJ109" s="403" t="s">
        <v>223</v>
      </c>
      <c r="BG109" s="440"/>
      <c r="BH109" s="440"/>
      <c r="BI109" s="440"/>
      <c r="BJ109" s="440"/>
      <c r="BK109" s="440"/>
      <c r="BL109" s="440"/>
      <c r="BM109" s="440"/>
      <c r="BN109" s="440"/>
      <c r="BO109" s="440"/>
      <c r="BP109" s="440"/>
      <c r="BQ109" s="440"/>
      <c r="BR109" s="440"/>
      <c r="BS109" s="440"/>
      <c r="BT109" s="440"/>
      <c r="BU109" s="440"/>
      <c r="BV109" s="440"/>
      <c r="BW109" s="440"/>
      <c r="CF109" s="440"/>
      <c r="CG109" s="440"/>
    </row>
    <row r="110" spans="2:85" ht="14.4" x14ac:dyDescent="0.3">
      <c r="C110" s="458">
        <f>HLOOKUP($N$53,$D$109:$G$110,$H110,FALSE)</f>
        <v>50</v>
      </c>
      <c r="D110" s="456">
        <v>50</v>
      </c>
      <c r="E110" s="456">
        <v>45</v>
      </c>
      <c r="F110" s="456">
        <v>55</v>
      </c>
      <c r="G110" s="456">
        <v>60</v>
      </c>
      <c r="H110" s="434">
        <v>2</v>
      </c>
      <c r="I110" s="459"/>
      <c r="J110" s="459"/>
      <c r="AG110" s="428" t="s">
        <v>466</v>
      </c>
      <c r="AH110" s="30" t="s">
        <v>282</v>
      </c>
      <c r="AI110" s="30" t="s">
        <v>282</v>
      </c>
      <c r="AJ110" s="403" t="s">
        <v>223</v>
      </c>
      <c r="BG110" s="440"/>
      <c r="BH110" s="440"/>
      <c r="BI110" s="440"/>
      <c r="BJ110" s="440"/>
      <c r="BK110" s="440"/>
      <c r="BL110" s="440"/>
      <c r="BM110" s="440"/>
      <c r="BN110" s="440"/>
      <c r="BO110" s="440"/>
      <c r="BP110" s="440"/>
      <c r="BQ110" s="440"/>
      <c r="BR110" s="440"/>
      <c r="BS110" s="440"/>
      <c r="BT110" s="440"/>
      <c r="BU110" s="440"/>
      <c r="BV110" s="440"/>
      <c r="BW110" s="440"/>
      <c r="CF110" s="440"/>
      <c r="CG110" s="440"/>
    </row>
    <row r="111" spans="2:85" x14ac:dyDescent="0.3">
      <c r="AG111" s="428" t="s">
        <v>467</v>
      </c>
      <c r="AH111" s="30" t="s">
        <v>223</v>
      </c>
      <c r="AI111" s="30" t="s">
        <v>282</v>
      </c>
      <c r="AJ111" s="403" t="s">
        <v>223</v>
      </c>
      <c r="BG111" s="440"/>
      <c r="BH111" s="440"/>
      <c r="BI111" s="440"/>
      <c r="BJ111" s="440"/>
      <c r="BK111" s="440"/>
      <c r="BL111" s="440"/>
      <c r="BM111" s="440"/>
      <c r="BN111" s="440"/>
      <c r="BO111" s="440"/>
      <c r="BP111" s="440"/>
      <c r="BQ111" s="440"/>
      <c r="BR111" s="440"/>
      <c r="BS111" s="440"/>
      <c r="BT111" s="440"/>
      <c r="BU111" s="440"/>
      <c r="BV111" s="440"/>
      <c r="BW111" s="440"/>
      <c r="CF111" s="440"/>
      <c r="CG111" s="440"/>
    </row>
    <row r="112" spans="2:85" x14ac:dyDescent="0.3">
      <c r="C112" s="446" t="s">
        <v>468</v>
      </c>
      <c r="D112" s="291">
        <v>1</v>
      </c>
      <c r="E112" s="291">
        <v>2</v>
      </c>
      <c r="F112" s="292" t="s">
        <v>372</v>
      </c>
      <c r="AG112" s="428" t="s">
        <v>469</v>
      </c>
      <c r="AH112" s="30" t="s">
        <v>223</v>
      </c>
      <c r="AI112" s="30" t="s">
        <v>282</v>
      </c>
      <c r="AJ112" s="403" t="s">
        <v>223</v>
      </c>
      <c r="BG112" s="440"/>
      <c r="BH112" s="440"/>
      <c r="BI112" s="440"/>
      <c r="BJ112" s="440"/>
      <c r="BK112" s="440"/>
      <c r="BL112" s="440"/>
      <c r="BM112" s="440"/>
      <c r="BN112" s="440"/>
      <c r="BO112" s="440"/>
      <c r="BP112" s="440"/>
      <c r="BQ112" s="440"/>
      <c r="BR112" s="440"/>
      <c r="BS112" s="440"/>
      <c r="BT112" s="440"/>
      <c r="BU112" s="440"/>
      <c r="BV112" s="440"/>
      <c r="BW112" s="440"/>
      <c r="CF112" s="440"/>
      <c r="CG112" s="440"/>
    </row>
    <row r="113" spans="3:85" ht="14.4" x14ac:dyDescent="0.3">
      <c r="C113" s="460">
        <f>HLOOKUP($O$53,$D$112:$E$113,$F113,FALSE)</f>
        <v>100000</v>
      </c>
      <c r="D113" s="461">
        <v>100000</v>
      </c>
      <c r="E113" s="461">
        <v>75000</v>
      </c>
      <c r="F113" s="434">
        <v>2</v>
      </c>
      <c r="AG113" s="428" t="s">
        <v>470</v>
      </c>
      <c r="AH113" s="30" t="s">
        <v>282</v>
      </c>
      <c r="AI113" s="30" t="s">
        <v>282</v>
      </c>
      <c r="AJ113" s="403" t="s">
        <v>223</v>
      </c>
      <c r="BG113" s="440"/>
      <c r="BH113" s="440"/>
      <c r="BI113" s="440"/>
      <c r="BJ113" s="440"/>
      <c r="BK113" s="440"/>
      <c r="BL113" s="440"/>
      <c r="BM113" s="440"/>
      <c r="BN113" s="440"/>
      <c r="BO113" s="440"/>
      <c r="BP113" s="440"/>
      <c r="BQ113" s="440"/>
      <c r="BR113" s="440"/>
      <c r="BS113" s="440"/>
      <c r="BT113" s="440"/>
      <c r="BU113" s="440"/>
      <c r="BV113" s="440"/>
      <c r="BW113" s="440"/>
      <c r="CF113" s="440"/>
      <c r="CG113" s="440"/>
    </row>
    <row r="114" spans="3:85" x14ac:dyDescent="0.3">
      <c r="AG114" s="428" t="s">
        <v>471</v>
      </c>
      <c r="AH114" s="30" t="s">
        <v>282</v>
      </c>
      <c r="AI114" s="30" t="s">
        <v>282</v>
      </c>
      <c r="AJ114" s="403" t="s">
        <v>223</v>
      </c>
      <c r="BG114" s="440"/>
      <c r="BH114" s="440"/>
      <c r="BI114" s="440"/>
      <c r="BJ114" s="440"/>
      <c r="BK114" s="440"/>
      <c r="BL114" s="440"/>
      <c r="BM114" s="440"/>
      <c r="BN114" s="440"/>
      <c r="BO114" s="440"/>
      <c r="BP114" s="440"/>
      <c r="BQ114" s="440"/>
      <c r="BR114" s="440"/>
      <c r="BS114" s="440"/>
      <c r="BT114" s="440"/>
      <c r="BU114" s="440"/>
      <c r="BV114" s="440"/>
      <c r="BW114" s="440"/>
      <c r="CF114" s="440"/>
      <c r="CG114" s="440"/>
    </row>
    <row r="115" spans="3:85" x14ac:dyDescent="0.3">
      <c r="C115" s="446" t="s">
        <v>472</v>
      </c>
      <c r="D115" s="291">
        <v>1</v>
      </c>
      <c r="E115" s="291">
        <v>2</v>
      </c>
      <c r="F115" s="292" t="s">
        <v>372</v>
      </c>
      <c r="AG115" s="428" t="s">
        <v>473</v>
      </c>
      <c r="AH115" s="30" t="s">
        <v>223</v>
      </c>
      <c r="AI115" s="30" t="s">
        <v>282</v>
      </c>
      <c r="AJ115" s="403" t="s">
        <v>223</v>
      </c>
      <c r="BG115" s="440"/>
      <c r="BH115" s="440"/>
      <c r="BI115" s="440"/>
      <c r="BJ115" s="440"/>
      <c r="BK115" s="440"/>
      <c r="BL115" s="440"/>
      <c r="BM115" s="440"/>
      <c r="BN115" s="440"/>
      <c r="BO115" s="440"/>
      <c r="BP115" s="440"/>
      <c r="BQ115" s="440"/>
      <c r="BR115" s="440"/>
      <c r="BS115" s="440"/>
      <c r="BT115" s="440"/>
      <c r="BU115" s="440"/>
      <c r="BV115" s="440"/>
      <c r="BW115" s="440"/>
      <c r="CF115" s="440"/>
      <c r="CG115" s="440"/>
    </row>
    <row r="116" spans="3:85" ht="14.4" x14ac:dyDescent="0.3">
      <c r="C116" s="375">
        <f>HLOOKUP($P$53,$D$115:$E$116,$F116,FALSE)</f>
        <v>0.1</v>
      </c>
      <c r="D116" s="462">
        <v>0.1</v>
      </c>
      <c r="E116" s="462">
        <v>0.05</v>
      </c>
      <c r="F116" s="434">
        <v>2</v>
      </c>
      <c r="AG116" s="428" t="s">
        <v>474</v>
      </c>
      <c r="AH116" s="30" t="s">
        <v>282</v>
      </c>
      <c r="AI116" s="30" t="s">
        <v>282</v>
      </c>
      <c r="AJ116" s="403" t="s">
        <v>223</v>
      </c>
      <c r="BG116" s="440"/>
      <c r="BH116" s="440"/>
      <c r="BI116" s="440"/>
      <c r="BJ116" s="440"/>
      <c r="BK116" s="440"/>
      <c r="BL116" s="440"/>
      <c r="BM116" s="440"/>
      <c r="BN116" s="440"/>
      <c r="BO116" s="440"/>
      <c r="BP116" s="440"/>
      <c r="BQ116" s="440"/>
      <c r="BR116" s="440"/>
      <c r="BS116" s="440"/>
      <c r="BT116" s="440"/>
      <c r="BU116" s="440"/>
      <c r="BV116" s="440"/>
      <c r="BW116" s="440"/>
      <c r="CF116" s="440"/>
      <c r="CG116" s="440"/>
    </row>
    <row r="117" spans="3:85" x14ac:dyDescent="0.3">
      <c r="AG117" s="428" t="s">
        <v>475</v>
      </c>
      <c r="AH117" s="30" t="s">
        <v>282</v>
      </c>
      <c r="AI117" s="30" t="s">
        <v>282</v>
      </c>
      <c r="AJ117" s="403" t="s">
        <v>282</v>
      </c>
      <c r="BG117" s="440"/>
      <c r="BH117" s="440"/>
      <c r="BI117" s="440"/>
      <c r="BJ117" s="440"/>
      <c r="BK117" s="440"/>
      <c r="BL117" s="440"/>
      <c r="BM117" s="440"/>
      <c r="BN117" s="440"/>
      <c r="BO117" s="440"/>
      <c r="BP117" s="440"/>
      <c r="BQ117" s="440"/>
      <c r="BR117" s="440"/>
      <c r="BS117" s="440"/>
      <c r="BT117" s="440"/>
      <c r="BU117" s="440"/>
      <c r="BV117" s="440"/>
      <c r="BW117" s="440"/>
      <c r="CF117" s="440"/>
      <c r="CG117" s="440"/>
    </row>
    <row r="118" spans="3:85" ht="26.4" x14ac:dyDescent="0.3">
      <c r="C118" s="446" t="s">
        <v>110</v>
      </c>
      <c r="D118" s="291">
        <v>1</v>
      </c>
      <c r="E118" s="291">
        <v>2</v>
      </c>
      <c r="F118" s="292" t="s">
        <v>372</v>
      </c>
      <c r="AG118" s="463" t="s">
        <v>476</v>
      </c>
      <c r="AH118" s="410" t="s">
        <v>282</v>
      </c>
      <c r="AI118" s="410" t="s">
        <v>282</v>
      </c>
      <c r="AJ118" s="411" t="s">
        <v>223</v>
      </c>
      <c r="BG118" s="440"/>
      <c r="BH118" s="440"/>
      <c r="BI118" s="440"/>
      <c r="BJ118" s="440"/>
      <c r="BK118" s="440"/>
      <c r="BL118" s="440"/>
      <c r="BM118" s="440"/>
      <c r="BN118" s="440"/>
      <c r="BO118" s="440"/>
      <c r="BP118" s="440"/>
      <c r="BQ118" s="440"/>
      <c r="BR118" s="440"/>
      <c r="BS118" s="440"/>
      <c r="BT118" s="440"/>
      <c r="BU118" s="440"/>
      <c r="BV118" s="440"/>
      <c r="BW118" s="440"/>
      <c r="CF118" s="440"/>
      <c r="CG118" s="440"/>
    </row>
    <row r="119" spans="3:85" ht="14.4" x14ac:dyDescent="0.3">
      <c r="C119" s="375">
        <f>HLOOKUP($Q$53,$D$118:$E$119,$F119,FALSE)</f>
        <v>0.875</v>
      </c>
      <c r="D119" s="462">
        <v>0.875</v>
      </c>
      <c r="E119" s="462">
        <v>1</v>
      </c>
      <c r="F119" s="434">
        <v>2</v>
      </c>
      <c r="BG119" s="440"/>
      <c r="BH119" s="440"/>
      <c r="BI119" s="440"/>
      <c r="BJ119" s="440"/>
      <c r="BK119" s="440"/>
      <c r="BL119" s="440"/>
      <c r="BM119" s="440"/>
      <c r="BN119" s="440"/>
      <c r="BO119" s="440"/>
      <c r="BP119" s="440"/>
      <c r="BQ119" s="440"/>
      <c r="BR119" s="440"/>
      <c r="BS119" s="440"/>
      <c r="BT119" s="440"/>
      <c r="BU119" s="440"/>
      <c r="BV119" s="440"/>
      <c r="BW119" s="440"/>
      <c r="CF119" s="440"/>
      <c r="CG119" s="440"/>
    </row>
    <row r="120" spans="3:85" x14ac:dyDescent="0.3">
      <c r="AG120" s="464" t="s">
        <v>32</v>
      </c>
      <c r="AH120" s="465" t="s">
        <v>35</v>
      </c>
      <c r="AI120" s="441" t="s">
        <v>477</v>
      </c>
      <c r="AJ120" s="466" t="s">
        <v>478</v>
      </c>
      <c r="BG120" s="440"/>
      <c r="BH120" s="440"/>
      <c r="BI120" s="440"/>
      <c r="BJ120" s="440"/>
      <c r="BK120" s="440"/>
      <c r="BL120" s="440"/>
      <c r="BM120" s="440"/>
      <c r="BN120" s="440"/>
      <c r="BO120" s="440"/>
      <c r="BP120" s="440"/>
      <c r="BQ120" s="440"/>
      <c r="BR120" s="440"/>
      <c r="BS120" s="440"/>
      <c r="BT120" s="440"/>
      <c r="BU120" s="440"/>
      <c r="BV120" s="440"/>
      <c r="BW120" s="440"/>
      <c r="CF120" s="440"/>
      <c r="CG120" s="440"/>
    </row>
    <row r="121" spans="3:85" ht="14.4" x14ac:dyDescent="0.3">
      <c r="C121" s="446" t="s">
        <v>479</v>
      </c>
      <c r="D121" s="291">
        <v>1</v>
      </c>
      <c r="E121" s="291">
        <v>2</v>
      </c>
      <c r="F121" s="291">
        <v>3</v>
      </c>
      <c r="G121" s="292" t="s">
        <v>372</v>
      </c>
      <c r="AG121" s="467" t="s">
        <v>222</v>
      </c>
      <c r="AH121" s="468" t="s">
        <v>79</v>
      </c>
      <c r="AI121" s="469">
        <v>0</v>
      </c>
      <c r="BG121" s="440"/>
      <c r="BH121" s="440"/>
      <c r="BI121" s="440"/>
      <c r="BJ121" s="440"/>
      <c r="BK121" s="440"/>
      <c r="BL121" s="440"/>
      <c r="BM121" s="440"/>
      <c r="BN121" s="440"/>
      <c r="BO121" s="440"/>
      <c r="BP121" s="440"/>
      <c r="BQ121" s="440"/>
      <c r="BR121" s="440"/>
      <c r="BS121" s="440"/>
      <c r="BT121" s="440"/>
      <c r="BU121" s="440"/>
      <c r="BV121" s="440"/>
      <c r="BW121" s="440"/>
      <c r="CF121" s="440"/>
      <c r="CG121" s="440"/>
    </row>
    <row r="122" spans="3:85" ht="14.4" x14ac:dyDescent="0.3">
      <c r="C122" s="455">
        <f>HLOOKUP($T$53,$D$121:$F$122,$G122,FALSE)</f>
        <v>1</v>
      </c>
      <c r="D122" s="470">
        <v>1</v>
      </c>
      <c r="E122" s="470">
        <v>6</v>
      </c>
      <c r="F122" s="470">
        <v>8</v>
      </c>
      <c r="G122" s="434">
        <v>2</v>
      </c>
      <c r="AG122" s="467" t="s">
        <v>240</v>
      </c>
      <c r="AH122" s="468" t="s">
        <v>250</v>
      </c>
      <c r="AI122" s="471">
        <f>IF(State="CA",100,10)</f>
        <v>10</v>
      </c>
      <c r="BG122" s="440"/>
      <c r="BH122" s="440"/>
      <c r="BI122" s="440"/>
      <c r="BJ122" s="440"/>
      <c r="BK122" s="440"/>
      <c r="BL122" s="440"/>
      <c r="BM122" s="440"/>
      <c r="BN122" s="440"/>
      <c r="BO122" s="440"/>
      <c r="BP122" s="440"/>
      <c r="BQ122" s="440"/>
      <c r="BR122" s="440"/>
      <c r="BS122" s="440"/>
      <c r="BT122" s="440"/>
      <c r="BU122" s="440"/>
      <c r="BV122" s="440"/>
      <c r="BW122" s="440"/>
      <c r="CF122" s="440"/>
      <c r="CG122" s="440"/>
    </row>
    <row r="123" spans="3:85" ht="14.4" x14ac:dyDescent="0.3">
      <c r="AG123" s="467" t="s">
        <v>240</v>
      </c>
      <c r="AH123" s="468" t="s">
        <v>251</v>
      </c>
      <c r="AI123" s="469">
        <v>100</v>
      </c>
      <c r="BG123" s="440"/>
      <c r="BH123" s="440"/>
      <c r="BI123" s="440"/>
      <c r="BJ123" s="440"/>
      <c r="BK123" s="440"/>
      <c r="BL123" s="440"/>
      <c r="BM123" s="440"/>
      <c r="BN123" s="440"/>
      <c r="BO123" s="440"/>
      <c r="BP123" s="440"/>
      <c r="BQ123" s="440"/>
      <c r="BR123" s="440"/>
      <c r="BS123" s="440"/>
      <c r="BT123" s="440"/>
      <c r="BU123" s="440"/>
      <c r="BV123" s="440"/>
      <c r="BW123" s="440"/>
      <c r="CF123" s="440"/>
      <c r="CG123" s="440"/>
    </row>
    <row r="124" spans="3:85" ht="26.4" x14ac:dyDescent="0.3">
      <c r="C124" s="446" t="s">
        <v>159</v>
      </c>
      <c r="D124" s="291">
        <v>1</v>
      </c>
      <c r="E124" s="291">
        <v>2</v>
      </c>
      <c r="F124" s="291">
        <v>3</v>
      </c>
      <c r="G124" s="292" t="s">
        <v>372</v>
      </c>
      <c r="AG124" s="467" t="s">
        <v>259</v>
      </c>
      <c r="AH124" s="468" t="s">
        <v>79</v>
      </c>
      <c r="AI124" s="469">
        <v>0</v>
      </c>
      <c r="BG124" s="440"/>
      <c r="BH124" s="440"/>
      <c r="BI124" s="440"/>
      <c r="BJ124" s="440"/>
      <c r="BK124" s="440"/>
      <c r="BL124" s="440"/>
      <c r="BM124" s="440"/>
      <c r="BN124" s="440"/>
      <c r="BO124" s="440"/>
      <c r="BP124" s="440"/>
      <c r="BQ124" s="440"/>
      <c r="BR124" s="440"/>
      <c r="BS124" s="440"/>
      <c r="BT124" s="440"/>
      <c r="BU124" s="440"/>
      <c r="BV124" s="440"/>
      <c r="BW124" s="440"/>
      <c r="CF124" s="440"/>
      <c r="CG124" s="440"/>
    </row>
    <row r="125" spans="3:85" ht="14.4" x14ac:dyDescent="0.3">
      <c r="C125" s="375">
        <f>HLOOKUP($U$53,$D$124:$F$125,$G125,FALSE)</f>
        <v>0</v>
      </c>
      <c r="D125" s="462">
        <v>0</v>
      </c>
      <c r="E125" s="462">
        <v>1.5E-3</v>
      </c>
      <c r="F125" s="462">
        <v>2E-3</v>
      </c>
      <c r="G125" s="434">
        <v>2</v>
      </c>
      <c r="AG125" s="467" t="s">
        <v>267</v>
      </c>
      <c r="AH125" s="468" t="s">
        <v>344</v>
      </c>
      <c r="AI125" s="471">
        <f>IF(State="CA",100,10)</f>
        <v>10</v>
      </c>
      <c r="BG125" s="440"/>
      <c r="BH125" s="440"/>
      <c r="BI125" s="440"/>
      <c r="BJ125" s="440"/>
      <c r="BK125" s="440"/>
      <c r="BL125" s="440"/>
      <c r="BM125" s="440"/>
      <c r="BN125" s="440"/>
      <c r="BO125" s="440"/>
      <c r="BP125" s="440"/>
      <c r="BQ125" s="440"/>
      <c r="BR125" s="440"/>
      <c r="BS125" s="440"/>
      <c r="BT125" s="440"/>
      <c r="BU125" s="440"/>
      <c r="BV125" s="440"/>
      <c r="BW125" s="440"/>
      <c r="CF125" s="440"/>
      <c r="CG125" s="440"/>
    </row>
    <row r="126" spans="3:85" x14ac:dyDescent="0.3">
      <c r="AG126" s="467" t="s">
        <v>275</v>
      </c>
      <c r="AH126" s="468" t="s">
        <v>344</v>
      </c>
      <c r="AI126" s="471">
        <f>IF(State="CA",100,10)</f>
        <v>10</v>
      </c>
      <c r="BG126" s="440"/>
      <c r="BH126" s="440"/>
      <c r="BI126" s="440"/>
      <c r="BJ126" s="440"/>
      <c r="BK126" s="440"/>
      <c r="BL126" s="440"/>
      <c r="BM126" s="440"/>
      <c r="BN126" s="440"/>
      <c r="BO126" s="440"/>
      <c r="BP126" s="440"/>
      <c r="BQ126" s="440"/>
      <c r="BR126" s="440"/>
      <c r="BS126" s="440"/>
      <c r="BT126" s="440"/>
      <c r="BU126" s="440"/>
      <c r="BV126" s="440"/>
      <c r="BW126" s="440"/>
      <c r="CF126" s="440"/>
      <c r="CG126" s="440"/>
    </row>
    <row r="127" spans="3:85" ht="14.4" x14ac:dyDescent="0.3">
      <c r="AG127" s="467" t="s">
        <v>281</v>
      </c>
      <c r="AH127" s="468" t="s">
        <v>79</v>
      </c>
      <c r="AI127" s="469">
        <v>0</v>
      </c>
      <c r="BG127" s="440"/>
      <c r="BH127" s="440"/>
      <c r="BI127" s="440"/>
      <c r="BJ127" s="440"/>
      <c r="BK127" s="440"/>
      <c r="BL127" s="440"/>
      <c r="BM127" s="440"/>
      <c r="BN127" s="440"/>
      <c r="BO127" s="440"/>
      <c r="BP127" s="440"/>
      <c r="BQ127" s="440"/>
      <c r="BR127" s="440"/>
      <c r="BS127" s="440"/>
      <c r="BT127" s="440"/>
      <c r="BU127" s="440"/>
      <c r="BV127" s="440"/>
      <c r="BW127" s="440"/>
      <c r="CF127" s="440"/>
      <c r="CG127" s="440"/>
    </row>
    <row r="128" spans="3:85" ht="14.4" x14ac:dyDescent="0.3">
      <c r="AG128" s="467" t="s">
        <v>285</v>
      </c>
      <c r="AH128" s="468" t="s">
        <v>79</v>
      </c>
      <c r="AI128" s="469">
        <v>0</v>
      </c>
      <c r="BG128" s="440"/>
      <c r="BH128" s="440"/>
      <c r="BI128" s="440"/>
      <c r="BJ128" s="440"/>
      <c r="BK128" s="440"/>
      <c r="BL128" s="440"/>
      <c r="BM128" s="440"/>
      <c r="BN128" s="440"/>
      <c r="BO128" s="440"/>
      <c r="BP128" s="440"/>
      <c r="BQ128" s="440"/>
      <c r="BR128" s="440"/>
      <c r="BS128" s="440"/>
      <c r="BT128" s="440"/>
      <c r="BU128" s="440"/>
      <c r="BV128" s="440"/>
      <c r="BW128" s="440"/>
      <c r="CF128" s="440"/>
      <c r="CG128" s="440"/>
    </row>
    <row r="129" spans="33:85" x14ac:dyDescent="0.3">
      <c r="AG129" s="467" t="s">
        <v>287</v>
      </c>
      <c r="AH129" s="468" t="s">
        <v>344</v>
      </c>
      <c r="AI129" s="471">
        <f>IF(State="CA",100,10)</f>
        <v>10</v>
      </c>
      <c r="BG129" s="440"/>
      <c r="BH129" s="440"/>
      <c r="BI129" s="440"/>
      <c r="BJ129" s="440"/>
      <c r="BK129" s="440"/>
      <c r="BL129" s="440"/>
      <c r="BM129" s="440"/>
      <c r="BN129" s="440"/>
      <c r="BO129" s="440"/>
      <c r="BP129" s="440"/>
      <c r="BQ129" s="440"/>
      <c r="BR129" s="440"/>
      <c r="BS129" s="440"/>
      <c r="BT129" s="440"/>
      <c r="BU129" s="440"/>
      <c r="BV129" s="440"/>
      <c r="BW129" s="440"/>
      <c r="CF129" s="440"/>
      <c r="CG129" s="440"/>
    </row>
    <row r="130" spans="33:85" x14ac:dyDescent="0.3">
      <c r="AG130" s="467" t="s">
        <v>289</v>
      </c>
      <c r="AH130" s="468" t="s">
        <v>344</v>
      </c>
      <c r="AI130" s="471">
        <f>IF(State="CA",100,10)</f>
        <v>10</v>
      </c>
      <c r="BG130" s="440"/>
      <c r="BH130" s="440"/>
      <c r="BI130" s="440"/>
      <c r="BJ130" s="440"/>
      <c r="BK130" s="440"/>
      <c r="BL130" s="440"/>
      <c r="BM130" s="440"/>
      <c r="BN130" s="440"/>
      <c r="BO130" s="440"/>
      <c r="BP130" s="440"/>
      <c r="BQ130" s="440"/>
      <c r="BR130" s="440"/>
      <c r="BS130" s="440"/>
      <c r="BT130" s="440"/>
      <c r="BU130" s="440"/>
      <c r="BV130" s="440"/>
      <c r="BW130" s="440"/>
      <c r="CF130" s="440"/>
      <c r="CG130" s="440"/>
    </row>
    <row r="131" spans="33:85" ht="14.4" x14ac:dyDescent="0.3">
      <c r="AG131" s="467" t="s">
        <v>291</v>
      </c>
      <c r="AH131" s="468" t="s">
        <v>79</v>
      </c>
      <c r="AI131" s="469">
        <v>0</v>
      </c>
      <c r="BG131" s="440"/>
      <c r="BH131" s="440"/>
      <c r="BI131" s="440"/>
      <c r="BJ131" s="440"/>
      <c r="BK131" s="440"/>
      <c r="BL131" s="440"/>
      <c r="BM131" s="440"/>
      <c r="BN131" s="440"/>
      <c r="BO131" s="440"/>
      <c r="BP131" s="440"/>
      <c r="BQ131" s="440"/>
      <c r="BR131" s="440"/>
      <c r="BS131" s="440"/>
      <c r="BT131" s="440"/>
      <c r="BU131" s="440"/>
      <c r="BV131" s="440"/>
      <c r="BW131" s="440"/>
      <c r="CF131" s="440"/>
      <c r="CG131" s="440"/>
    </row>
    <row r="132" spans="33:85" x14ac:dyDescent="0.3">
      <c r="AG132" s="467" t="s">
        <v>295</v>
      </c>
      <c r="AH132" s="468" t="s">
        <v>250</v>
      </c>
      <c r="AI132" s="471">
        <f>IF(State="CA",100,10)</f>
        <v>10</v>
      </c>
      <c r="BG132" s="440"/>
      <c r="BH132" s="440"/>
      <c r="BI132" s="440"/>
      <c r="BJ132" s="440"/>
      <c r="BK132" s="440"/>
      <c r="BL132" s="440"/>
      <c r="BM132" s="440"/>
      <c r="BN132" s="440"/>
      <c r="BO132" s="440"/>
      <c r="BP132" s="440"/>
      <c r="BQ132" s="440"/>
      <c r="BR132" s="440"/>
      <c r="BS132" s="440"/>
      <c r="BT132" s="440"/>
      <c r="BU132" s="440"/>
      <c r="BV132" s="440"/>
      <c r="BW132" s="440"/>
      <c r="CF132" s="440"/>
      <c r="CG132" s="440"/>
    </row>
    <row r="133" spans="33:85" ht="14.4" x14ac:dyDescent="0.3">
      <c r="AG133" s="467" t="s">
        <v>295</v>
      </c>
      <c r="AH133" s="468" t="s">
        <v>251</v>
      </c>
      <c r="AI133" s="469">
        <v>100</v>
      </c>
      <c r="BG133" s="440"/>
      <c r="BH133" s="440"/>
      <c r="BI133" s="440"/>
      <c r="BJ133" s="440"/>
      <c r="BK133" s="440"/>
      <c r="BL133" s="440"/>
      <c r="BM133" s="440"/>
      <c r="BN133" s="440"/>
      <c r="BO133" s="440"/>
      <c r="BP133" s="440"/>
      <c r="BQ133" s="440"/>
      <c r="BR133" s="440"/>
      <c r="BS133" s="440"/>
      <c r="BT133" s="440"/>
      <c r="BU133" s="440"/>
      <c r="BV133" s="440"/>
      <c r="BW133" s="440"/>
      <c r="CF133" s="440"/>
      <c r="CG133" s="440"/>
    </row>
    <row r="134" spans="33:85" ht="14.4" x14ac:dyDescent="0.3">
      <c r="AG134" s="467" t="s">
        <v>299</v>
      </c>
      <c r="AH134" s="468" t="s">
        <v>79</v>
      </c>
      <c r="AI134" s="469">
        <v>0</v>
      </c>
      <c r="BG134" s="440"/>
      <c r="BH134" s="440"/>
      <c r="BI134" s="440"/>
      <c r="BJ134" s="440"/>
      <c r="BK134" s="440"/>
      <c r="BL134" s="440"/>
      <c r="BM134" s="440"/>
      <c r="BN134" s="440"/>
      <c r="BO134" s="440"/>
      <c r="BP134" s="440"/>
      <c r="BQ134" s="440"/>
      <c r="BR134" s="440"/>
      <c r="BS134" s="440"/>
      <c r="BT134" s="440"/>
      <c r="BU134" s="440"/>
      <c r="BV134" s="440"/>
      <c r="BW134" s="440"/>
      <c r="CF134" s="440"/>
      <c r="CG134" s="440"/>
    </row>
    <row r="135" spans="33:85" x14ac:dyDescent="0.3">
      <c r="AG135" s="467" t="s">
        <v>303</v>
      </c>
      <c r="AH135" s="468" t="s">
        <v>250</v>
      </c>
      <c r="AI135" s="471">
        <f>IF(State="CA",100,10)</f>
        <v>10</v>
      </c>
      <c r="BG135" s="440"/>
      <c r="BH135" s="440"/>
      <c r="BI135" s="440"/>
      <c r="BJ135" s="440"/>
      <c r="BK135" s="440"/>
      <c r="BL135" s="440"/>
      <c r="BM135" s="440"/>
      <c r="BN135" s="440"/>
      <c r="BO135" s="440"/>
      <c r="BP135" s="440"/>
      <c r="BQ135" s="440"/>
      <c r="BR135" s="440"/>
      <c r="BS135" s="440"/>
      <c r="BT135" s="440"/>
      <c r="BU135" s="440"/>
      <c r="BV135" s="440"/>
      <c r="BW135" s="440"/>
      <c r="CF135" s="440"/>
      <c r="CG135" s="440"/>
    </row>
    <row r="136" spans="33:85" ht="14.4" x14ac:dyDescent="0.3">
      <c r="AG136" s="467" t="s">
        <v>303</v>
      </c>
      <c r="AH136" s="468" t="s">
        <v>251</v>
      </c>
      <c r="AI136" s="469">
        <v>100</v>
      </c>
      <c r="BG136" s="440"/>
      <c r="BH136" s="440"/>
      <c r="BI136" s="440"/>
      <c r="BJ136" s="440"/>
      <c r="BK136" s="440"/>
      <c r="BL136" s="440"/>
      <c r="BM136" s="440"/>
      <c r="BN136" s="440"/>
      <c r="BO136" s="440"/>
      <c r="BP136" s="440"/>
      <c r="BQ136" s="440"/>
      <c r="BR136" s="440"/>
      <c r="BS136" s="440"/>
      <c r="BT136" s="440"/>
      <c r="BU136" s="440"/>
      <c r="BV136" s="440"/>
      <c r="BW136" s="440"/>
      <c r="CF136" s="440"/>
      <c r="CG136" s="440"/>
    </row>
    <row r="137" spans="33:85" ht="14.4" x14ac:dyDescent="0.3">
      <c r="AG137" s="467" t="s">
        <v>307</v>
      </c>
      <c r="AH137" s="468" t="s">
        <v>79</v>
      </c>
      <c r="AI137" s="469">
        <v>0</v>
      </c>
      <c r="BG137" s="440"/>
      <c r="BH137" s="440"/>
      <c r="BI137" s="440"/>
      <c r="BJ137" s="440"/>
      <c r="BK137" s="440"/>
      <c r="BL137" s="440"/>
      <c r="BM137" s="440"/>
      <c r="BN137" s="440"/>
      <c r="BO137" s="440"/>
      <c r="BP137" s="440"/>
      <c r="BQ137" s="440"/>
      <c r="BR137" s="440"/>
      <c r="BS137" s="440"/>
      <c r="BT137" s="440"/>
      <c r="BU137" s="440"/>
      <c r="BV137" s="440"/>
      <c r="BW137" s="440"/>
      <c r="CF137" s="440"/>
      <c r="CG137" s="440"/>
    </row>
    <row r="138" spans="33:85" ht="14.4" x14ac:dyDescent="0.3">
      <c r="AG138" s="467" t="s">
        <v>311</v>
      </c>
      <c r="AH138" s="468" t="s">
        <v>258</v>
      </c>
      <c r="AI138" s="469">
        <v>10</v>
      </c>
      <c r="BG138" s="440"/>
      <c r="BH138" s="440"/>
      <c r="BI138" s="440"/>
      <c r="BJ138" s="440"/>
      <c r="BK138" s="440"/>
      <c r="BL138" s="440"/>
      <c r="BM138" s="440"/>
      <c r="BN138" s="440"/>
      <c r="BO138" s="440"/>
      <c r="BP138" s="440"/>
      <c r="BQ138" s="440"/>
      <c r="BR138" s="440"/>
      <c r="BS138" s="440"/>
      <c r="BT138" s="440"/>
      <c r="BU138" s="440"/>
      <c r="BV138" s="440"/>
      <c r="BW138" s="440"/>
      <c r="CF138" s="440"/>
      <c r="CG138" s="440"/>
    </row>
    <row r="139" spans="33:85" ht="14.4" x14ac:dyDescent="0.3">
      <c r="AG139" s="467" t="s">
        <v>280</v>
      </c>
      <c r="AH139" s="468" t="s">
        <v>79</v>
      </c>
      <c r="AI139" s="469">
        <v>0</v>
      </c>
      <c r="BG139" s="440"/>
      <c r="BH139" s="440"/>
      <c r="BI139" s="440"/>
      <c r="BJ139" s="440"/>
      <c r="BK139" s="440"/>
      <c r="BL139" s="440"/>
      <c r="BM139" s="440"/>
      <c r="BN139" s="440"/>
      <c r="BO139" s="440"/>
      <c r="BP139" s="440"/>
      <c r="BQ139" s="440"/>
      <c r="BR139" s="440"/>
      <c r="BS139" s="440"/>
      <c r="BT139" s="440"/>
      <c r="BU139" s="440"/>
      <c r="BV139" s="440"/>
      <c r="BW139" s="440"/>
      <c r="CF139" s="440"/>
      <c r="CG139" s="440"/>
    </row>
    <row r="140" spans="33:85" ht="14.4" x14ac:dyDescent="0.3">
      <c r="AG140" s="467" t="s">
        <v>283</v>
      </c>
      <c r="AH140" s="468" t="s">
        <v>79</v>
      </c>
      <c r="AI140" s="469">
        <v>0</v>
      </c>
      <c r="BG140" s="440"/>
      <c r="BH140" s="440"/>
      <c r="BI140" s="440"/>
      <c r="BJ140" s="440"/>
      <c r="BK140" s="440"/>
      <c r="BL140" s="440"/>
      <c r="BM140" s="440"/>
      <c r="BN140" s="440"/>
      <c r="BO140" s="440"/>
      <c r="BP140" s="440"/>
      <c r="BQ140" s="440"/>
      <c r="BR140" s="440"/>
      <c r="BS140" s="440"/>
      <c r="BT140" s="440"/>
      <c r="BU140" s="440"/>
      <c r="BV140" s="440"/>
      <c r="BW140" s="440"/>
      <c r="CF140" s="440"/>
      <c r="CG140" s="440"/>
    </row>
    <row r="141" spans="33:85" ht="14.4" x14ac:dyDescent="0.3">
      <c r="AG141" s="467" t="s">
        <v>286</v>
      </c>
      <c r="AH141" s="468" t="s">
        <v>79</v>
      </c>
      <c r="AI141" s="469">
        <v>0</v>
      </c>
      <c r="BG141" s="440"/>
      <c r="BH141" s="440"/>
      <c r="BI141" s="440"/>
      <c r="BJ141" s="440"/>
      <c r="BK141" s="440"/>
      <c r="BL141" s="440"/>
      <c r="BM141" s="440"/>
      <c r="BN141" s="440"/>
      <c r="BO141" s="440"/>
      <c r="BP141" s="440"/>
      <c r="BQ141" s="440"/>
      <c r="BR141" s="440"/>
      <c r="BS141" s="440"/>
      <c r="BT141" s="440"/>
      <c r="BU141" s="440"/>
      <c r="BV141" s="440"/>
      <c r="BW141" s="440"/>
      <c r="CF141" s="440"/>
      <c r="CG141" s="440"/>
    </row>
    <row r="142" spans="33:85" x14ac:dyDescent="0.3">
      <c r="AG142" s="467" t="s">
        <v>288</v>
      </c>
      <c r="AH142" s="468" t="s">
        <v>250</v>
      </c>
      <c r="AI142" s="471">
        <f>IF(State="CA",100,10)</f>
        <v>10</v>
      </c>
      <c r="BG142" s="440"/>
      <c r="BH142" s="440"/>
      <c r="BI142" s="440"/>
      <c r="BJ142" s="440"/>
      <c r="BK142" s="440"/>
      <c r="BL142" s="440"/>
      <c r="BM142" s="440"/>
      <c r="BN142" s="440"/>
      <c r="BO142" s="440"/>
      <c r="BP142" s="440"/>
      <c r="BQ142" s="440"/>
      <c r="BR142" s="440"/>
      <c r="BS142" s="440"/>
      <c r="BT142" s="440"/>
      <c r="BU142" s="440"/>
      <c r="BV142" s="440"/>
      <c r="BW142" s="440"/>
      <c r="CF142" s="440"/>
      <c r="CG142" s="440"/>
    </row>
    <row r="143" spans="33:85" ht="14.4" x14ac:dyDescent="0.3">
      <c r="AG143" s="467" t="s">
        <v>288</v>
      </c>
      <c r="AH143" s="468" t="s">
        <v>251</v>
      </c>
      <c r="AI143" s="469">
        <v>100</v>
      </c>
      <c r="BG143" s="440"/>
      <c r="BH143" s="440"/>
      <c r="BI143" s="440"/>
      <c r="BJ143" s="440"/>
      <c r="BK143" s="440"/>
      <c r="BL143" s="440"/>
      <c r="BM143" s="440"/>
      <c r="BN143" s="440"/>
      <c r="BO143" s="440"/>
      <c r="BP143" s="440"/>
      <c r="BQ143" s="440"/>
      <c r="BR143" s="440"/>
      <c r="BS143" s="440"/>
      <c r="BT143" s="440"/>
      <c r="BU143" s="440"/>
      <c r="BV143" s="440"/>
      <c r="BW143" s="440"/>
      <c r="CF143" s="440"/>
      <c r="CG143" s="440"/>
    </row>
    <row r="144" spans="33:85" ht="14.4" x14ac:dyDescent="0.3">
      <c r="AG144" s="467" t="s">
        <v>290</v>
      </c>
      <c r="AH144" s="468" t="s">
        <v>79</v>
      </c>
      <c r="AI144" s="469">
        <v>0</v>
      </c>
      <c r="BG144" s="440"/>
      <c r="BH144" s="440"/>
      <c r="BI144" s="440"/>
      <c r="BJ144" s="440"/>
      <c r="BK144" s="440"/>
      <c r="BL144" s="440"/>
      <c r="BM144" s="440"/>
      <c r="BN144" s="440"/>
      <c r="BO144" s="440"/>
      <c r="BP144" s="440"/>
      <c r="BQ144" s="440"/>
      <c r="BR144" s="440"/>
      <c r="BS144" s="440"/>
      <c r="BT144" s="440"/>
      <c r="BU144" s="440"/>
      <c r="BV144" s="440"/>
      <c r="BW144" s="440"/>
      <c r="CF144" s="440"/>
      <c r="CG144" s="440"/>
    </row>
    <row r="145" spans="33:85" x14ac:dyDescent="0.3">
      <c r="AG145" s="467" t="s">
        <v>294</v>
      </c>
      <c r="AH145" s="468" t="s">
        <v>250</v>
      </c>
      <c r="AI145" s="471">
        <f>IF(State="CA",100,10)</f>
        <v>10</v>
      </c>
      <c r="BG145" s="440"/>
      <c r="BH145" s="440"/>
      <c r="BI145" s="440"/>
      <c r="BJ145" s="440"/>
      <c r="BK145" s="440"/>
      <c r="BL145" s="440"/>
      <c r="BM145" s="440"/>
      <c r="BN145" s="440"/>
      <c r="BO145" s="440"/>
      <c r="BP145" s="440"/>
      <c r="BQ145" s="440"/>
      <c r="BR145" s="440"/>
      <c r="BS145" s="440"/>
      <c r="BT145" s="440"/>
      <c r="BU145" s="440"/>
      <c r="BV145" s="440"/>
      <c r="BW145" s="440"/>
      <c r="CF145" s="440"/>
      <c r="CG145" s="440"/>
    </row>
    <row r="146" spans="33:85" ht="14.4" x14ac:dyDescent="0.3">
      <c r="AG146" s="467" t="s">
        <v>294</v>
      </c>
      <c r="AH146" s="468" t="s">
        <v>251</v>
      </c>
      <c r="AI146" s="469">
        <v>100</v>
      </c>
      <c r="BG146" s="440"/>
      <c r="BH146" s="440"/>
      <c r="BI146" s="440"/>
      <c r="BJ146" s="440"/>
      <c r="BK146" s="440"/>
      <c r="BL146" s="440"/>
      <c r="BM146" s="440"/>
      <c r="BN146" s="440"/>
      <c r="BO146" s="440"/>
      <c r="BP146" s="440"/>
      <c r="BQ146" s="440"/>
      <c r="BR146" s="440"/>
      <c r="BS146" s="440"/>
      <c r="BT146" s="440"/>
      <c r="BU146" s="440"/>
      <c r="BV146" s="440"/>
      <c r="BW146" s="440"/>
      <c r="CF146" s="440"/>
      <c r="CG146" s="440"/>
    </row>
    <row r="147" spans="33:85" ht="14.4" x14ac:dyDescent="0.3">
      <c r="AG147" s="467" t="s">
        <v>298</v>
      </c>
      <c r="AH147" s="468" t="s">
        <v>79</v>
      </c>
      <c r="AI147" s="469">
        <v>0</v>
      </c>
      <c r="BG147" s="440"/>
      <c r="BH147" s="440"/>
      <c r="BI147" s="440"/>
      <c r="BJ147" s="440"/>
      <c r="BK147" s="440"/>
      <c r="BL147" s="440"/>
      <c r="BM147" s="440"/>
      <c r="BN147" s="440"/>
      <c r="BO147" s="440"/>
      <c r="BP147" s="440"/>
      <c r="BQ147" s="440"/>
      <c r="BR147" s="440"/>
      <c r="BS147" s="440"/>
      <c r="BT147" s="440"/>
      <c r="BU147" s="440"/>
      <c r="BV147" s="440"/>
      <c r="BW147" s="440"/>
      <c r="CF147" s="440"/>
      <c r="CG147" s="440"/>
    </row>
    <row r="148" spans="33:85" x14ac:dyDescent="0.3">
      <c r="AG148" s="467" t="s">
        <v>302</v>
      </c>
      <c r="AH148" s="468" t="s">
        <v>250</v>
      </c>
      <c r="AI148" s="471">
        <f>IF(State="CA",100,10)</f>
        <v>10</v>
      </c>
      <c r="BG148" s="440"/>
      <c r="BH148" s="440"/>
      <c r="BI148" s="440"/>
      <c r="BJ148" s="440"/>
      <c r="BK148" s="440"/>
      <c r="BL148" s="440"/>
      <c r="BM148" s="440"/>
      <c r="BN148" s="440"/>
      <c r="BO148" s="440"/>
      <c r="BP148" s="440"/>
      <c r="BQ148" s="440"/>
      <c r="BR148" s="440"/>
      <c r="BS148" s="440"/>
      <c r="BT148" s="440"/>
      <c r="BU148" s="440"/>
      <c r="BV148" s="440"/>
      <c r="BW148" s="440"/>
      <c r="CF148" s="440"/>
      <c r="CG148" s="440"/>
    </row>
    <row r="149" spans="33:85" ht="14.4" x14ac:dyDescent="0.3">
      <c r="AG149" s="467" t="s">
        <v>302</v>
      </c>
      <c r="AH149" s="468" t="s">
        <v>251</v>
      </c>
      <c r="AI149" s="469">
        <v>100</v>
      </c>
      <c r="BG149" s="440"/>
      <c r="BH149" s="440"/>
      <c r="BI149" s="440"/>
      <c r="BJ149" s="440"/>
      <c r="BK149" s="440"/>
      <c r="BL149" s="440"/>
      <c r="BM149" s="440"/>
      <c r="BN149" s="440"/>
      <c r="BO149" s="440"/>
      <c r="BP149" s="440"/>
      <c r="BQ149" s="440"/>
      <c r="BR149" s="440"/>
      <c r="BS149" s="440"/>
      <c r="BT149" s="440"/>
      <c r="BU149" s="440"/>
      <c r="BV149" s="440"/>
      <c r="BW149" s="440"/>
      <c r="CF149" s="440"/>
      <c r="CG149" s="440"/>
    </row>
    <row r="150" spans="33:85" ht="14.4" x14ac:dyDescent="0.3">
      <c r="AG150" s="467" t="s">
        <v>219</v>
      </c>
      <c r="AH150" s="468" t="s">
        <v>79</v>
      </c>
      <c r="AI150" s="469">
        <v>0</v>
      </c>
      <c r="BG150" s="440"/>
      <c r="BH150" s="440"/>
      <c r="BI150" s="440"/>
      <c r="BJ150" s="440"/>
      <c r="BK150" s="440"/>
      <c r="BL150" s="440"/>
      <c r="BM150" s="440"/>
      <c r="BN150" s="440"/>
      <c r="BO150" s="440"/>
      <c r="BP150" s="440"/>
      <c r="BQ150" s="440"/>
      <c r="BR150" s="440"/>
      <c r="BS150" s="440"/>
      <c r="BT150" s="440"/>
      <c r="BU150" s="440"/>
      <c r="BV150" s="440"/>
      <c r="BW150" s="440"/>
      <c r="CF150" s="440"/>
      <c r="CG150" s="440"/>
    </row>
    <row r="151" spans="33:85" x14ac:dyDescent="0.3">
      <c r="AG151" s="467" t="s">
        <v>319</v>
      </c>
      <c r="AH151" s="468" t="s">
        <v>250</v>
      </c>
      <c r="AI151" s="471">
        <f>IF(State="CA",100,10)</f>
        <v>10</v>
      </c>
      <c r="BG151" s="440"/>
      <c r="BH151" s="440"/>
      <c r="BI151" s="440"/>
      <c r="BJ151" s="440"/>
      <c r="BK151" s="440"/>
      <c r="BL151" s="440"/>
      <c r="BM151" s="440"/>
      <c r="BN151" s="440"/>
      <c r="BO151" s="440"/>
      <c r="BP151" s="440"/>
      <c r="BQ151" s="440"/>
      <c r="BR151" s="440"/>
      <c r="BS151" s="440"/>
      <c r="BT151" s="440"/>
      <c r="BU151" s="440"/>
      <c r="BV151" s="440"/>
      <c r="BW151" s="440"/>
      <c r="CF151" s="440"/>
      <c r="CG151" s="440"/>
    </row>
    <row r="152" spans="33:85" ht="14.4" x14ac:dyDescent="0.3">
      <c r="AG152" s="467" t="s">
        <v>319</v>
      </c>
      <c r="AH152" s="468" t="s">
        <v>251</v>
      </c>
      <c r="AI152" s="469">
        <v>100</v>
      </c>
      <c r="BG152" s="440"/>
      <c r="BH152" s="440"/>
      <c r="BI152" s="440"/>
      <c r="BJ152" s="440"/>
      <c r="BK152" s="440"/>
      <c r="BL152" s="440"/>
      <c r="BM152" s="440"/>
      <c r="BN152" s="440"/>
      <c r="BO152" s="440"/>
      <c r="BP152" s="440"/>
      <c r="BQ152" s="440"/>
      <c r="BR152" s="440"/>
      <c r="BS152" s="440"/>
      <c r="BT152" s="440"/>
      <c r="BU152" s="440"/>
      <c r="BV152" s="440"/>
      <c r="BW152" s="440"/>
      <c r="CF152" s="440"/>
      <c r="CG152" s="440"/>
    </row>
    <row r="153" spans="33:85" ht="14.4" x14ac:dyDescent="0.3">
      <c r="AG153" s="467" t="s">
        <v>306</v>
      </c>
      <c r="AH153" s="468" t="s">
        <v>79</v>
      </c>
      <c r="AI153" s="469">
        <v>0</v>
      </c>
      <c r="BG153" s="440"/>
      <c r="BH153" s="440"/>
      <c r="BI153" s="440"/>
      <c r="BJ153" s="440"/>
      <c r="BK153" s="440"/>
      <c r="BL153" s="440"/>
      <c r="BM153" s="440"/>
      <c r="BN153" s="440"/>
      <c r="BO153" s="440"/>
      <c r="BP153" s="440"/>
      <c r="BQ153" s="440"/>
      <c r="BR153" s="440"/>
      <c r="BS153" s="440"/>
      <c r="BT153" s="440"/>
      <c r="BU153" s="440"/>
      <c r="BV153" s="440"/>
      <c r="BW153" s="440"/>
      <c r="CF153" s="440"/>
      <c r="CG153" s="440"/>
    </row>
    <row r="154" spans="33:85" ht="14.4" x14ac:dyDescent="0.3">
      <c r="AG154" s="467" t="s">
        <v>228</v>
      </c>
      <c r="AH154" s="468" t="s">
        <v>79</v>
      </c>
      <c r="AI154" s="469">
        <v>0</v>
      </c>
      <c r="BG154" s="440"/>
      <c r="BH154" s="440"/>
      <c r="BI154" s="440"/>
      <c r="BJ154" s="440"/>
      <c r="BK154" s="440"/>
      <c r="BL154" s="440"/>
      <c r="BM154" s="440"/>
      <c r="BN154" s="440"/>
      <c r="BO154" s="440"/>
      <c r="BP154" s="440"/>
      <c r="BQ154" s="440"/>
      <c r="BR154" s="440"/>
      <c r="BS154" s="440"/>
      <c r="BT154" s="440"/>
      <c r="BU154" s="440"/>
      <c r="BV154" s="440"/>
      <c r="BW154" s="440"/>
      <c r="CF154" s="440"/>
      <c r="CG154" s="440"/>
    </row>
    <row r="155" spans="33:85" x14ac:dyDescent="0.3">
      <c r="AG155" s="467" t="s">
        <v>320</v>
      </c>
      <c r="AH155" s="468" t="s">
        <v>250</v>
      </c>
      <c r="AI155" s="471">
        <f>IF(State="CA",100,10)</f>
        <v>10</v>
      </c>
      <c r="BG155" s="440"/>
      <c r="BH155" s="440"/>
      <c r="BI155" s="440"/>
      <c r="BJ155" s="440"/>
      <c r="BK155" s="440"/>
      <c r="BL155" s="440"/>
      <c r="BM155" s="440"/>
      <c r="BN155" s="440"/>
      <c r="BO155" s="440"/>
      <c r="BP155" s="440"/>
      <c r="BQ155" s="440"/>
      <c r="BR155" s="440"/>
      <c r="BS155" s="440"/>
      <c r="BT155" s="440"/>
      <c r="BU155" s="440"/>
      <c r="BV155" s="440"/>
      <c r="BW155" s="440"/>
      <c r="CF155" s="440"/>
      <c r="CG155" s="440"/>
    </row>
    <row r="156" spans="33:85" ht="14.4" x14ac:dyDescent="0.3">
      <c r="AG156" s="467" t="s">
        <v>320</v>
      </c>
      <c r="AH156" s="468" t="s">
        <v>251</v>
      </c>
      <c r="AI156" s="469">
        <v>100</v>
      </c>
      <c r="BG156" s="440"/>
      <c r="BH156" s="440"/>
      <c r="BI156" s="440"/>
      <c r="BJ156" s="440"/>
      <c r="BK156" s="440"/>
      <c r="BL156" s="440"/>
      <c r="BM156" s="440"/>
      <c r="BN156" s="440"/>
      <c r="BO156" s="440"/>
      <c r="BP156" s="440"/>
      <c r="BQ156" s="440"/>
      <c r="BR156" s="440"/>
      <c r="BS156" s="440"/>
      <c r="BT156" s="440"/>
      <c r="BU156" s="440"/>
      <c r="BV156" s="440"/>
      <c r="BW156" s="440"/>
      <c r="CF156" s="440"/>
      <c r="CG156" s="440"/>
    </row>
    <row r="157" spans="33:85" x14ac:dyDescent="0.3">
      <c r="AG157" s="467" t="s">
        <v>310</v>
      </c>
      <c r="AH157" s="468" t="s">
        <v>250</v>
      </c>
      <c r="AI157" s="471">
        <f>IF(State="CA",100,10)</f>
        <v>10</v>
      </c>
      <c r="BG157" s="440"/>
      <c r="BH157" s="440"/>
      <c r="BI157" s="440"/>
      <c r="BJ157" s="440"/>
      <c r="BK157" s="440"/>
      <c r="BL157" s="440"/>
      <c r="BM157" s="440"/>
      <c r="BN157" s="440"/>
      <c r="BO157" s="440"/>
      <c r="BP157" s="440"/>
      <c r="BQ157" s="440"/>
      <c r="BR157" s="440"/>
      <c r="BS157" s="440"/>
      <c r="BT157" s="440"/>
      <c r="BU157" s="440"/>
      <c r="BV157" s="440"/>
      <c r="BW157" s="440"/>
      <c r="CF157" s="440"/>
      <c r="CG157" s="440"/>
    </row>
    <row r="158" spans="33:85" ht="14.4" x14ac:dyDescent="0.3">
      <c r="AG158" s="467" t="s">
        <v>310</v>
      </c>
      <c r="AH158" s="468" t="s">
        <v>251</v>
      </c>
      <c r="AI158" s="469">
        <v>100</v>
      </c>
      <c r="BG158" s="440"/>
      <c r="BH158" s="440"/>
      <c r="BI158" s="440"/>
      <c r="BJ158" s="440"/>
      <c r="BK158" s="440"/>
      <c r="BL158" s="440"/>
      <c r="BM158" s="440"/>
      <c r="BN158" s="440"/>
      <c r="BO158" s="440"/>
      <c r="BP158" s="440"/>
      <c r="BQ158" s="440"/>
      <c r="BR158" s="440"/>
      <c r="BS158" s="440"/>
      <c r="BT158" s="440"/>
      <c r="BU158" s="440"/>
      <c r="BV158" s="440"/>
      <c r="BW158" s="440"/>
      <c r="CF158" s="440"/>
      <c r="CG158" s="440"/>
    </row>
    <row r="159" spans="33:85" ht="14.4" x14ac:dyDescent="0.3">
      <c r="AG159" s="467" t="s">
        <v>77</v>
      </c>
      <c r="AH159" s="468" t="s">
        <v>79</v>
      </c>
      <c r="AI159" s="469">
        <v>0</v>
      </c>
      <c r="BG159" s="440"/>
      <c r="BH159" s="440"/>
      <c r="BI159" s="440"/>
      <c r="BJ159" s="440"/>
      <c r="BK159" s="440"/>
      <c r="BL159" s="440"/>
      <c r="BM159" s="440"/>
      <c r="BN159" s="440"/>
      <c r="BO159" s="440"/>
      <c r="BP159" s="440"/>
      <c r="BQ159" s="440"/>
      <c r="BR159" s="440"/>
      <c r="BS159" s="440"/>
      <c r="BT159" s="440"/>
      <c r="BU159" s="440"/>
      <c r="BV159" s="440"/>
      <c r="BW159" s="440"/>
      <c r="CF159" s="440"/>
      <c r="CG159" s="440"/>
    </row>
    <row r="160" spans="33:85" x14ac:dyDescent="0.3">
      <c r="AG160" s="467" t="s">
        <v>314</v>
      </c>
      <c r="AH160" s="468" t="s">
        <v>250</v>
      </c>
      <c r="AI160" s="471">
        <f>IF(State="CA",100,10)</f>
        <v>10</v>
      </c>
      <c r="BG160" s="440"/>
      <c r="BH160" s="440"/>
      <c r="BI160" s="440"/>
      <c r="BJ160" s="440"/>
      <c r="BK160" s="440"/>
      <c r="BL160" s="440"/>
      <c r="BM160" s="440"/>
      <c r="BN160" s="440"/>
      <c r="BO160" s="440"/>
      <c r="BP160" s="440"/>
      <c r="BQ160" s="440"/>
      <c r="BR160" s="440"/>
      <c r="BS160" s="440"/>
      <c r="BT160" s="440"/>
      <c r="BU160" s="440"/>
      <c r="BV160" s="440"/>
      <c r="BW160" s="440"/>
      <c r="CF160" s="440"/>
      <c r="CG160" s="440"/>
    </row>
    <row r="161" spans="33:85" ht="14.4" x14ac:dyDescent="0.3">
      <c r="AG161" s="467" t="s">
        <v>314</v>
      </c>
      <c r="AH161" s="468" t="s">
        <v>251</v>
      </c>
      <c r="AI161" s="469">
        <v>100</v>
      </c>
      <c r="BG161" s="440"/>
      <c r="BH161" s="440"/>
      <c r="BI161" s="440"/>
      <c r="BJ161" s="440"/>
      <c r="BK161" s="440"/>
      <c r="BL161" s="440"/>
      <c r="BM161" s="440"/>
      <c r="BN161" s="440"/>
      <c r="BO161" s="440"/>
      <c r="BP161" s="440"/>
      <c r="BQ161" s="440"/>
      <c r="BR161" s="440"/>
      <c r="BS161" s="440"/>
      <c r="BT161" s="440"/>
      <c r="BU161" s="440"/>
      <c r="BV161" s="440"/>
      <c r="BW161" s="440"/>
      <c r="CF161" s="440"/>
      <c r="CG161" s="440"/>
    </row>
    <row r="162" spans="33:85" ht="14.4" x14ac:dyDescent="0.3">
      <c r="AG162" s="467" t="s">
        <v>315</v>
      </c>
      <c r="AH162" s="468" t="s">
        <v>79</v>
      </c>
      <c r="AI162" s="469">
        <v>0</v>
      </c>
      <c r="BG162" s="440"/>
      <c r="BH162" s="440"/>
      <c r="BI162" s="440"/>
      <c r="BJ162" s="440"/>
      <c r="BK162" s="440"/>
      <c r="BL162" s="440"/>
      <c r="BM162" s="440"/>
      <c r="BN162" s="440"/>
      <c r="BO162" s="440"/>
      <c r="BP162" s="440"/>
      <c r="BQ162" s="440"/>
      <c r="BR162" s="440"/>
      <c r="BS162" s="440"/>
      <c r="BT162" s="440"/>
      <c r="BU162" s="440"/>
      <c r="BV162" s="440"/>
      <c r="BW162" s="440"/>
      <c r="CF162" s="440"/>
      <c r="CG162" s="440"/>
    </row>
    <row r="163" spans="33:85" x14ac:dyDescent="0.3">
      <c r="AG163" s="467" t="s">
        <v>317</v>
      </c>
      <c r="AH163" s="468" t="s">
        <v>250</v>
      </c>
      <c r="AI163" s="471">
        <f>IF(State="CA",100,10)</f>
        <v>10</v>
      </c>
      <c r="BG163" s="440"/>
      <c r="BH163" s="440"/>
      <c r="BI163" s="440"/>
      <c r="BJ163" s="440"/>
      <c r="BK163" s="440"/>
      <c r="BL163" s="440"/>
      <c r="BM163" s="440"/>
      <c r="BN163" s="440"/>
      <c r="BO163" s="440"/>
      <c r="BP163" s="440"/>
      <c r="BQ163" s="440"/>
      <c r="BR163" s="440"/>
      <c r="BS163" s="440"/>
      <c r="BT163" s="440"/>
      <c r="BU163" s="440"/>
      <c r="BV163" s="440"/>
      <c r="BW163" s="440"/>
      <c r="CF163" s="440"/>
      <c r="CG163" s="440"/>
    </row>
    <row r="164" spans="33:85" ht="14.4" x14ac:dyDescent="0.3">
      <c r="AG164" s="467" t="s">
        <v>317</v>
      </c>
      <c r="AH164" s="468" t="s">
        <v>251</v>
      </c>
      <c r="AI164" s="469">
        <v>100</v>
      </c>
    </row>
    <row r="165" spans="33:85" ht="14.4" x14ac:dyDescent="0.3">
      <c r="AG165" s="467" t="s">
        <v>323</v>
      </c>
      <c r="AH165" s="468" t="s">
        <v>79</v>
      </c>
      <c r="AI165" s="469">
        <v>0</v>
      </c>
    </row>
    <row r="166" spans="33:85" x14ac:dyDescent="0.3">
      <c r="AG166" s="467" t="s">
        <v>326</v>
      </c>
      <c r="AH166" s="468" t="s">
        <v>250</v>
      </c>
      <c r="AI166" s="471">
        <f>IF(State="CA",100,10)</f>
        <v>10</v>
      </c>
    </row>
    <row r="167" spans="33:85" ht="14.4" x14ac:dyDescent="0.3">
      <c r="AG167" s="467" t="s">
        <v>326</v>
      </c>
      <c r="AH167" s="468" t="s">
        <v>251</v>
      </c>
      <c r="AI167" s="469">
        <v>100</v>
      </c>
    </row>
    <row r="168" spans="33:85" ht="14.4" x14ac:dyDescent="0.3">
      <c r="AG168" s="467" t="s">
        <v>330</v>
      </c>
      <c r="AH168" s="468" t="s">
        <v>79</v>
      </c>
      <c r="AI168" s="469">
        <v>0</v>
      </c>
    </row>
    <row r="169" spans="33:85" ht="14.4" x14ac:dyDescent="0.3">
      <c r="AG169" s="467" t="s">
        <v>332</v>
      </c>
      <c r="AH169" s="468" t="s">
        <v>258</v>
      </c>
      <c r="AI169" s="469">
        <v>10</v>
      </c>
    </row>
    <row r="170" spans="33:85" ht="14.4" x14ac:dyDescent="0.3">
      <c r="AG170" s="467" t="s">
        <v>246</v>
      </c>
      <c r="AH170" s="468" t="s">
        <v>79</v>
      </c>
      <c r="AI170" s="469">
        <v>0</v>
      </c>
    </row>
    <row r="171" spans="33:85" ht="14.4" x14ac:dyDescent="0.3">
      <c r="AG171" s="467" t="s">
        <v>340</v>
      </c>
      <c r="AH171" s="468" t="s">
        <v>272</v>
      </c>
      <c r="AI171" s="469">
        <v>10</v>
      </c>
    </row>
    <row r="172" spans="33:85" ht="14.4" x14ac:dyDescent="0.3">
      <c r="AG172" s="467" t="s">
        <v>340</v>
      </c>
      <c r="AH172" s="468" t="s">
        <v>251</v>
      </c>
      <c r="AI172" s="469">
        <v>100</v>
      </c>
    </row>
    <row r="173" spans="33:85" ht="14.4" x14ac:dyDescent="0.3">
      <c r="AG173" s="467" t="s">
        <v>335</v>
      </c>
      <c r="AH173" s="468" t="s">
        <v>79</v>
      </c>
      <c r="AI173" s="469">
        <v>0</v>
      </c>
    </row>
    <row r="174" spans="33:85" ht="14.4" x14ac:dyDescent="0.3">
      <c r="AG174" s="467" t="s">
        <v>336</v>
      </c>
      <c r="AH174" s="468" t="s">
        <v>79</v>
      </c>
      <c r="AI174" s="469">
        <v>0</v>
      </c>
    </row>
    <row r="175" spans="33:85" ht="14.4" x14ac:dyDescent="0.3">
      <c r="AG175" s="467" t="s">
        <v>338</v>
      </c>
      <c r="AH175" s="468" t="s">
        <v>272</v>
      </c>
      <c r="AI175" s="469">
        <v>10</v>
      </c>
    </row>
    <row r="176" spans="33:85" ht="14.4" x14ac:dyDescent="0.3">
      <c r="AG176" s="467" t="s">
        <v>338</v>
      </c>
      <c r="AH176" s="468" t="s">
        <v>251</v>
      </c>
      <c r="AI176" s="469">
        <v>100</v>
      </c>
    </row>
    <row r="177" spans="33:39" ht="14.4" x14ac:dyDescent="0.3">
      <c r="AG177" s="467" t="s">
        <v>355</v>
      </c>
      <c r="AH177" s="468" t="s">
        <v>79</v>
      </c>
      <c r="AI177" s="469">
        <v>0</v>
      </c>
    </row>
    <row r="178" spans="33:39" ht="14.4" x14ac:dyDescent="0.3">
      <c r="AG178" s="467"/>
      <c r="AH178" s="468"/>
      <c r="AI178" s="469"/>
    </row>
    <row r="179" spans="33:39" ht="14.4" x14ac:dyDescent="0.3">
      <c r="AG179" s="472"/>
      <c r="AH179" s="473"/>
      <c r="AI179" s="474"/>
    </row>
    <row r="181" spans="33:39" x14ac:dyDescent="0.3">
      <c r="AG181" s="669" t="s">
        <v>480</v>
      </c>
      <c r="AH181" s="671"/>
      <c r="AI181" s="671"/>
      <c r="AJ181" s="671"/>
      <c r="AK181" s="671"/>
      <c r="AL181" s="671"/>
      <c r="AM181" s="670"/>
    </row>
    <row r="182" spans="33:39" x14ac:dyDescent="0.3">
      <c r="AG182" s="667" t="s">
        <v>481</v>
      </c>
      <c r="AH182" s="475" t="s">
        <v>78</v>
      </c>
      <c r="AI182" s="476" t="str" cm="1">
        <f t="array" ref="AI182">IFERROR(INDEX(Ref!$AI$184:$AM$193,MATCH(Product&amp;"|"&amp;AH182,$AG$184:$AG$193&amp;"|"&amp;$AH$184:$AH$193,0),0),"")</f>
        <v/>
      </c>
      <c r="AJ182" s="476"/>
      <c r="AK182" s="476"/>
      <c r="AL182" s="476"/>
      <c r="AM182" s="477"/>
    </row>
    <row r="183" spans="33:39" x14ac:dyDescent="0.3">
      <c r="AG183" s="668"/>
      <c r="AH183" s="478" t="s">
        <v>482</v>
      </c>
      <c r="AI183" s="479" t="str" cm="1">
        <f t="array" ref="AI183">IFERROR(INDEX(Ref!$AI$184:$AM$193,MATCH(Product&amp;"|"&amp;AH183,$AG$184:$AG$193&amp;"|"&amp;$AH$184:$AH$193,0),0),"")</f>
        <v/>
      </c>
      <c r="AJ183" s="479"/>
      <c r="AK183" s="479"/>
      <c r="AL183" s="479"/>
      <c r="AM183" s="480"/>
    </row>
    <row r="184" spans="33:39" x14ac:dyDescent="0.3">
      <c r="AG184" s="303" t="s">
        <v>283</v>
      </c>
      <c r="AH184" s="481" t="s">
        <v>78</v>
      </c>
      <c r="AI184" s="482">
        <v>3</v>
      </c>
      <c r="AJ184" s="482">
        <v>4</v>
      </c>
      <c r="AK184" s="482">
        <v>5</v>
      </c>
      <c r="AL184" s="482">
        <v>6</v>
      </c>
      <c r="AM184" s="483">
        <v>7</v>
      </c>
    </row>
    <row r="185" spans="33:39" x14ac:dyDescent="0.3">
      <c r="AG185" s="354" t="str">
        <f>AG184</f>
        <v>Power Index Plus (Chase)</v>
      </c>
      <c r="AH185" s="420" t="s">
        <v>482</v>
      </c>
      <c r="AI185" s="484">
        <v>9</v>
      </c>
      <c r="AJ185" s="484">
        <v>10</v>
      </c>
      <c r="AK185" s="484">
        <v>3</v>
      </c>
      <c r="AL185" s="484">
        <v>11</v>
      </c>
      <c r="AM185" s="485">
        <v>2</v>
      </c>
    </row>
    <row r="186" spans="33:39" x14ac:dyDescent="0.3">
      <c r="AG186" s="303"/>
      <c r="AH186" s="481" t="s">
        <v>78</v>
      </c>
      <c r="AI186" s="482"/>
      <c r="AJ186" s="482"/>
      <c r="AK186" s="482"/>
      <c r="AL186" s="482"/>
      <c r="AM186" s="483"/>
    </row>
    <row r="187" spans="33:39" x14ac:dyDescent="0.3">
      <c r="AG187" s="385"/>
      <c r="AH187" s="420" t="s">
        <v>482</v>
      </c>
      <c r="AI187" s="484"/>
      <c r="AJ187" s="484"/>
      <c r="AK187" s="484"/>
      <c r="AL187" s="484"/>
      <c r="AM187" s="485"/>
    </row>
    <row r="188" spans="33:39" x14ac:dyDescent="0.3">
      <c r="AG188" s="303"/>
      <c r="AH188" s="481" t="s">
        <v>78</v>
      </c>
      <c r="AI188" s="482"/>
      <c r="AJ188" s="482"/>
      <c r="AK188" s="482"/>
      <c r="AL188" s="482"/>
      <c r="AM188" s="483"/>
    </row>
    <row r="189" spans="33:39" x14ac:dyDescent="0.3">
      <c r="AG189" s="354"/>
      <c r="AH189" s="420" t="s">
        <v>482</v>
      </c>
      <c r="AI189" s="484"/>
      <c r="AJ189" s="484"/>
      <c r="AK189" s="484"/>
      <c r="AL189" s="484"/>
      <c r="AM189" s="485"/>
    </row>
    <row r="190" spans="33:39" x14ac:dyDescent="0.3">
      <c r="AG190" s="303"/>
      <c r="AH190" s="481" t="s">
        <v>78</v>
      </c>
      <c r="AI190" s="482"/>
      <c r="AJ190" s="482"/>
      <c r="AK190" s="482"/>
      <c r="AL190" s="482"/>
      <c r="AM190" s="483"/>
    </row>
    <row r="191" spans="33:39" x14ac:dyDescent="0.3">
      <c r="AG191" s="354"/>
      <c r="AH191" s="420" t="s">
        <v>482</v>
      </c>
      <c r="AI191" s="484"/>
      <c r="AJ191" s="484"/>
      <c r="AK191" s="484"/>
      <c r="AL191" s="484"/>
      <c r="AM191" s="485"/>
    </row>
    <row r="192" spans="33:39" x14ac:dyDescent="0.3">
      <c r="AG192" s="303"/>
      <c r="AH192" s="481" t="s">
        <v>78</v>
      </c>
      <c r="AI192" s="482"/>
      <c r="AJ192" s="482"/>
      <c r="AK192" s="482"/>
      <c r="AL192" s="482"/>
      <c r="AM192" s="483"/>
    </row>
    <row r="193" spans="33:39" x14ac:dyDescent="0.3">
      <c r="AG193" s="354"/>
      <c r="AH193" s="420" t="s">
        <v>482</v>
      </c>
      <c r="AI193" s="484"/>
      <c r="AJ193" s="484"/>
      <c r="AK193" s="484"/>
      <c r="AL193" s="484"/>
      <c r="AM193" s="485"/>
    </row>
  </sheetData>
  <mergeCells count="55">
    <mergeCell ref="BN2:BO2"/>
    <mergeCell ref="B2:U2"/>
    <mergeCell ref="BD2:BG2"/>
    <mergeCell ref="BH2:BI2"/>
    <mergeCell ref="BJ2:BK2"/>
    <mergeCell ref="BL2:BM2"/>
    <mergeCell ref="CB2:CC2"/>
    <mergeCell ref="CD2:CE2"/>
    <mergeCell ref="CF2:CG2"/>
    <mergeCell ref="BC3:BC6"/>
    <mergeCell ref="BD3:BD6"/>
    <mergeCell ref="BE3:BE6"/>
    <mergeCell ref="BF3:BF6"/>
    <mergeCell ref="BG3:BG6"/>
    <mergeCell ref="BH3:CA3"/>
    <mergeCell ref="CB3:CE3"/>
    <mergeCell ref="BP2:BQ2"/>
    <mergeCell ref="BR2:BS2"/>
    <mergeCell ref="BT2:BU2"/>
    <mergeCell ref="BV2:BW2"/>
    <mergeCell ref="BX2:BY2"/>
    <mergeCell ref="BZ2:CA2"/>
    <mergeCell ref="CF3:CG3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BH5:BI5"/>
    <mergeCell ref="BJ5:BK5"/>
    <mergeCell ref="BL5:BM5"/>
    <mergeCell ref="BN5:BO5"/>
    <mergeCell ref="BP5:BQ5"/>
    <mergeCell ref="BR5:BS5"/>
    <mergeCell ref="AG182:AG183"/>
    <mergeCell ref="CF5:CG5"/>
    <mergeCell ref="AL57:AM57"/>
    <mergeCell ref="Y60:AA60"/>
    <mergeCell ref="AL65:AM65"/>
    <mergeCell ref="AN65:AO65"/>
    <mergeCell ref="AG181:AM181"/>
    <mergeCell ref="BT5:BU5"/>
    <mergeCell ref="BV5:BW5"/>
    <mergeCell ref="BX5:BY5"/>
    <mergeCell ref="BZ5:CA5"/>
    <mergeCell ref="CB5:CC5"/>
    <mergeCell ref="CD5:CE5"/>
  </mergeCells>
  <conditionalFormatting sqref="AH68:AI118">
    <cfRule type="cellIs" dxfId="2" priority="2" operator="equal">
      <formula>"Y"</formula>
    </cfRule>
  </conditionalFormatting>
  <conditionalFormatting sqref="AH68:AJ118">
    <cfRule type="cellIs" dxfId="1" priority="1" operator="equal">
      <formula>"N"</formula>
    </cfRule>
  </conditionalFormatting>
  <conditionalFormatting sqref="AJ68:AJ118">
    <cfRule type="cellIs" dxfId="0" priority="3" operator="equal">
      <formula>"Y"</formula>
    </cfRule>
  </conditionalFormatting>
  <hyperlinks>
    <hyperlink ref="BC43" r:id="rId1" xr:uid="{50E132DE-FB5D-4D04-BBFF-9F1BCE415E22}"/>
  </hyperlinks>
  <pageMargins left="0.7" right="0.7" top="0.75" bottom="0.75" header="0.3" footer="0.3"/>
  <pageSetup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B5F0-F64C-4C2D-901D-EAA14336F53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76</vt:i4>
      </vt:variant>
    </vt:vector>
  </HeadingPairs>
  <TitlesOfParts>
    <vt:vector size="80" baseType="lpstr">
      <vt:lpstr>Report</vt:lpstr>
      <vt:lpstr>Inputs &amp; Summary</vt:lpstr>
      <vt:lpstr>Ref</vt:lpstr>
      <vt:lpstr>Sheet1</vt:lpstr>
      <vt:lpstr>AdICOS</vt:lpstr>
      <vt:lpstr>AdS</vt:lpstr>
      <vt:lpstr>AdvFee</vt:lpstr>
      <vt:lpstr>AFR</vt:lpstr>
      <vt:lpstr>AICOPrFee</vt:lpstr>
      <vt:lpstr>AnnAge</vt:lpstr>
      <vt:lpstr>Category</vt:lpstr>
      <vt:lpstr>CDSCP</vt:lpstr>
      <vt:lpstr>CDSCPSel</vt:lpstr>
      <vt:lpstr>CGR</vt:lpstr>
      <vt:lpstr>CLPrem</vt:lpstr>
      <vt:lpstr>Compact</vt:lpstr>
      <vt:lpstr>EICRInd</vt:lpstr>
      <vt:lpstr>EICRRate</vt:lpstr>
      <vt:lpstr>Election</vt:lpstr>
      <vt:lpstr>Focus</vt:lpstr>
      <vt:lpstr>FWD</vt:lpstr>
      <vt:lpstr>GIRM1</vt:lpstr>
      <vt:lpstr>GIRM2</vt:lpstr>
      <vt:lpstr>GMABC</vt:lpstr>
      <vt:lpstr>GMABR</vt:lpstr>
      <vt:lpstr>GMIR</vt:lpstr>
      <vt:lpstr>GMWBFee</vt:lpstr>
      <vt:lpstr>ICP</vt:lpstr>
      <vt:lpstr>ICR</vt:lpstr>
      <vt:lpstr>IED</vt:lpstr>
      <vt:lpstr>InPrem</vt:lpstr>
      <vt:lpstr>InS</vt:lpstr>
      <vt:lpstr>IPI</vt:lpstr>
      <vt:lpstr>ISD</vt:lpstr>
      <vt:lpstr>IssAge1</vt:lpstr>
      <vt:lpstr>IssAge2</vt:lpstr>
      <vt:lpstr>LBInd</vt:lpstr>
      <vt:lpstr>LIADur</vt:lpstr>
      <vt:lpstr>LIB</vt:lpstr>
      <vt:lpstr>LIC</vt:lpstr>
      <vt:lpstr>LIMLIPMF</vt:lpstr>
      <vt:lpstr>LIPFLIPMF</vt:lpstr>
      <vt:lpstr>LivBen</vt:lpstr>
      <vt:lpstr>MatAge</vt:lpstr>
      <vt:lpstr>MaxIGP</vt:lpstr>
      <vt:lpstr>MCIR</vt:lpstr>
      <vt:lpstr>MCIRInd</vt:lpstr>
      <vt:lpstr>ModReg</vt:lpstr>
      <vt:lpstr>MWVBasis</vt:lpstr>
      <vt:lpstr>MWVRate</vt:lpstr>
      <vt:lpstr>NIRM1</vt:lpstr>
      <vt:lpstr>NIRM2</vt:lpstr>
      <vt:lpstr>None</vt:lpstr>
      <vt:lpstr>OMaxR</vt:lpstr>
      <vt:lpstr>OMR</vt:lpstr>
      <vt:lpstr>PFED</vt:lpstr>
      <vt:lpstr>PoI5N</vt:lpstr>
      <vt:lpstr>PoIPN</vt:lpstr>
      <vt:lpstr>PoSS</vt:lpstr>
      <vt:lpstr>PremEnh</vt:lpstr>
      <vt:lpstr>Product</vt:lpstr>
      <vt:lpstr>Projection</vt:lpstr>
      <vt:lpstr>PTab</vt:lpstr>
      <vt:lpstr>ResetDur</vt:lpstr>
      <vt:lpstr>RMDAge</vt:lpstr>
      <vt:lpstr>RMDCat</vt:lpstr>
      <vt:lpstr>RMDInd</vt:lpstr>
      <vt:lpstr>ShIS</vt:lpstr>
      <vt:lpstr>ShPPS</vt:lpstr>
      <vt:lpstr>SSubCat</vt:lpstr>
      <vt:lpstr>State</vt:lpstr>
      <vt:lpstr>Summary</vt:lpstr>
      <vt:lpstr>SWAmount</vt:lpstr>
      <vt:lpstr>SWEnd</vt:lpstr>
      <vt:lpstr>SWInd</vt:lpstr>
      <vt:lpstr>SWMode</vt:lpstr>
      <vt:lpstr>SWRate</vt:lpstr>
      <vt:lpstr>SWStart</vt:lpstr>
      <vt:lpstr>WDAge</vt:lpstr>
      <vt:lpstr>WDRate</vt:lpstr>
    </vt:vector>
  </TitlesOfParts>
  <Company>Corebridge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Jiemin (US)</dc:creator>
  <cp:lastModifiedBy>Feng, Jiemin (US)</cp:lastModifiedBy>
  <dcterms:created xsi:type="dcterms:W3CDTF">2026-04-06T20:23:30Z</dcterms:created>
  <dcterms:modified xsi:type="dcterms:W3CDTF">2026-04-06T20:27:03Z</dcterms:modified>
</cp:coreProperties>
</file>